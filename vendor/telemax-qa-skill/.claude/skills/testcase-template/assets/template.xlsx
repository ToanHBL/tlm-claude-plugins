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3600" windowHeight="21000" tabRatio="500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Test Cases_VN" sheetId="4" state="visible" r:id="rId4"/>
    <sheet xmlns:r="http://schemas.openxmlformats.org/officeDocument/2006/relationships" name="Common Validate" sheetId="5" state="visible" r:id="rId5"/>
    <sheet xmlns:r="http://schemas.openxmlformats.org/officeDocument/2006/relationships" name="Defects &amp; Follow-ups" sheetId="6" state="visible" r:id="rId6"/>
    <sheet xmlns:r="http://schemas.openxmlformats.org/officeDocument/2006/relationships" name="Traceability" sheetId="7" state="visible" r:id="rId7"/>
    <sheet xmlns:r="http://schemas.openxmlformats.org/officeDocument/2006/relationships" name="Assumptions &amp; Questions" sheetId="8" state="visible" r:id="rId8"/>
  </sheets>
  <definedNames>
    <definedName name="_xlnm._FilterDatabase" localSheetId="2" hidden="1">'Test Cases'!$A$5:$N$33</definedName>
    <definedName name="_xlnm.Print_Titles" localSheetId="2">'Test Cases'!$4:$5</definedName>
    <definedName name="_xlnm._FilterDatabase" localSheetId="3" hidden="1">'Test Cases_VN'!$A$5:$N$33</definedName>
    <definedName name="_xlnm.Print_Titles" localSheetId="3">'Test Cases_VN'!$4:$5</definedName>
    <definedName name="_xlnm.Print_Titles" localSheetId="4">'Common Validate'!$3:$3</definedName>
    <definedName name="_xlnm.Print_Titles" localSheetId="5">'Defects &amp; Follow-ups'!$3:$3</definedName>
    <definedName name="_xlnm.Print_Titles" localSheetId="7">'Assumptions &amp; Questions'!$3:$3</definedName>
  </definedNames>
  <calcPr calcId="18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7">
    <font>
      <name val="Calibri"/>
      <charset val="1"/>
      <family val="2"/>
      <color theme="1"/>
      <sz val="11"/>
    </font>
    <font>
      <name val="Arial"/>
      <family val="2"/>
      <b val="1"/>
      <color rgb="FFFFFFFF"/>
      <sz val="16"/>
    </font>
    <font>
      <name val="Arial"/>
      <family val="2"/>
      <i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5"/>
    </font>
    <font>
      <name val="Arial"/>
      <family val="2"/>
      <b val="1"/>
      <color rgb="FF006100"/>
      <sz val="10"/>
    </font>
    <font>
      <name val="Arial"/>
      <family val="2"/>
      <b val="1"/>
      <color rgb="FF9C0006"/>
      <sz val="10"/>
    </font>
    <font>
      <name val="Arial"/>
      <family val="2"/>
      <b val="1"/>
      <color rgb="FF843C0C"/>
      <sz val="10"/>
    </font>
    <font>
      <name val="Arial"/>
      <family val="2"/>
      <b val="1"/>
      <color rgb="FF9C6500"/>
      <sz val="10"/>
    </font>
    <font>
      <name val="Arial"/>
      <family val="2"/>
      <b val="1"/>
      <color rgb="FF3F3F3F"/>
      <sz val="10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843C0C"/>
      <sz val="10"/>
    </font>
    <font>
      <name val="Arial"/>
      <family val="2"/>
      <color rgb="FF9C6500"/>
      <sz val="10"/>
    </font>
    <font>
      <name val="Arial"/>
      <family val="2"/>
      <color rgb="FF3F3F3F"/>
      <sz val="10"/>
    </font>
    <font>
      <name val="Arial"/>
      <family val="2"/>
      <b val="1"/>
      <color rgb="FFFFFFFF"/>
      <sz val="14"/>
    </font>
    <font>
      <name val="Arial"/>
      <family val="2"/>
      <b val="1"/>
      <color rgb="FF000000"/>
      <sz val="11"/>
    </font>
    <font>
      <name val="Arial"/>
      <family val="2"/>
      <b val="1"/>
      <color rgb="FFFFFFFF"/>
      <sz val="13"/>
    </font>
    <font>
      <name val="Noto Sans CJK SC"/>
      <family val="2"/>
      <color rgb="FF000000"/>
      <sz val="10"/>
    </font>
    <font>
      <name val="Arial"/>
      <family val="2"/>
      <b val="1"/>
      <color theme="1"/>
      <sz val="10"/>
    </font>
    <font>
      <name val="Arial"/>
      <sz val="10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24">
    <fill>
      <patternFill/>
    </fill>
    <fill>
      <patternFill patternType="gray125"/>
    </fill>
    <fill>
      <patternFill patternType="solid">
        <fgColor rgb="FF1F3864"/>
        <bgColor rgb="FF3F3F3F"/>
      </patternFill>
    </fill>
    <fill>
      <patternFill patternType="solid">
        <fgColor rgb="FFF2F2F2"/>
        <bgColor rgb="FFF7F9FC"/>
      </patternFill>
    </fill>
    <fill>
      <patternFill patternType="solid">
        <fgColor rgb="FFD9E2F3"/>
        <bgColor rgb="FFE7E6E6"/>
      </patternFill>
    </fill>
    <fill>
      <patternFill patternType="solid">
        <fgColor rgb="FF2E5C8A"/>
        <bgColor rgb="FF2E75B6"/>
      </patternFill>
    </fill>
    <fill>
      <patternFill patternType="solid">
        <fgColor rgb="FFF7F9FC"/>
        <bgColor rgb="FFFFFFFF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EB9C"/>
        <bgColor rgb="FFFFF2CC"/>
      </patternFill>
    </fill>
    <fill>
      <patternFill patternType="solid">
        <fgColor rgb="FFE7E6E6"/>
        <bgColor rgb="FFD9E2F3"/>
      </patternFill>
    </fill>
    <fill>
      <patternFill patternType="solid">
        <fgColor rgb="FFFFF2CC"/>
        <bgColor rgb="FFFCE4D6"/>
      </patternFill>
    </fill>
    <fill>
      <patternFill patternType="solid">
        <fgColor theme="0" tint="-0.1499984740745262"/>
        <bgColor rgb="FFD9E2F3"/>
      </patternFill>
    </fill>
    <fill>
      <patternFill patternType="solid">
        <fgColor theme="0" tint="-0.1499984740745262"/>
        <bgColor rgb="FFFCE4D6"/>
      </patternFill>
    </fill>
    <fill>
      <patternFill patternType="solid">
        <fgColor theme="0" tint="-0.1499984740745262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FFF2CC"/>
      </patternFill>
    </fill>
    <fill>
      <patternFill patternType="solid">
        <fgColor theme="4" tint="0.7999816888943144"/>
        <bgColor rgb="FFFCE4D6"/>
      </patternFill>
    </fill>
    <fill>
      <patternFill patternType="solid">
        <fgColor theme="3" tint="-0.249977111117893"/>
        <bgColor rgb="FF2E75B6"/>
      </patternFill>
    </fill>
    <fill>
      <patternFill patternType="solid">
        <fgColor theme="3" tint="0.7999816888943144"/>
        <bgColor rgb="FF2E75B6"/>
      </patternFill>
    </fill>
    <fill>
      <patternFill patternType="solid">
        <fgColor rgb="001F3864"/>
      </patternFill>
    </fill>
  </fills>
  <borders count="2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rgb="FFBFBFBF"/>
      </left>
      <right style="thin">
        <color theme="0" tint="-0.3499862666707358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1499984740745262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1499984740745262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medium">
        <color rgb="FF1F3864"/>
      </top>
      <bottom/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20" fillId="2" borderId="1" applyAlignment="1" pivotButton="0" quotePrefix="0" xfId="0">
      <alignment horizontal="center" vertical="center"/>
    </xf>
    <xf numFmtId="0" fontId="19" fillId="12" borderId="3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/>
    </xf>
    <xf numFmtId="0" fontId="6" fillId="5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/>
    </xf>
    <xf numFmtId="0" fontId="4" fillId="6" borderId="2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8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top"/>
    </xf>
    <xf numFmtId="164" fontId="4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 wrapText="1"/>
    </xf>
    <xf numFmtId="0" fontId="8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top"/>
    </xf>
    <xf numFmtId="0" fontId="4" fillId="6" borderId="2" applyAlignment="1" pivotButton="0" quotePrefix="0" xfId="0">
      <alignment horizontal="left" vertical="top" wrapText="1"/>
    </xf>
    <xf numFmtId="0" fontId="21" fillId="0" borderId="2" applyAlignment="1" pivotButton="0" quotePrefix="0" xfId="0">
      <alignment horizontal="left" vertical="top" wrapText="1"/>
    </xf>
    <xf numFmtId="0" fontId="4" fillId="12" borderId="2" applyAlignment="1" pivotButton="0" quotePrefix="0" xfId="0">
      <alignment horizontal="left" vertical="top" wrapText="1"/>
    </xf>
    <xf numFmtId="0" fontId="13" fillId="13" borderId="2" applyAlignment="1" pivotButton="0" quotePrefix="0" xfId="0">
      <alignment horizontal="center" vertical="top"/>
    </xf>
    <xf numFmtId="0" fontId="17" fillId="13" borderId="2" applyAlignment="1" pivotButton="0" quotePrefix="0" xfId="0">
      <alignment horizontal="center" vertical="top"/>
    </xf>
    <xf numFmtId="0" fontId="14" fillId="13" borderId="2" applyAlignment="1" pivotButton="0" quotePrefix="0" xfId="0">
      <alignment horizontal="center" vertical="top"/>
    </xf>
    <xf numFmtId="0" fontId="15" fillId="13" borderId="2" applyAlignment="1" pivotButton="0" quotePrefix="0" xfId="0">
      <alignment horizontal="center" vertical="top"/>
    </xf>
    <xf numFmtId="0" fontId="16" fillId="13" borderId="2" applyAlignment="1" pivotButton="0" quotePrefix="0" xfId="0">
      <alignment horizontal="center" vertical="top"/>
    </xf>
    <xf numFmtId="0" fontId="0" fillId="16" borderId="0" pivotButton="0" quotePrefix="0" xfId="0"/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horizontal="center" vertical="top"/>
    </xf>
    <xf numFmtId="0" fontId="13" fillId="17" borderId="0" applyAlignment="1" pivotButton="0" quotePrefix="0" xfId="0">
      <alignment horizontal="center" vertical="top"/>
    </xf>
    <xf numFmtId="0" fontId="14" fillId="18" borderId="0" applyAlignment="1" pivotButton="0" quotePrefix="0" xfId="0">
      <alignment horizontal="center" vertical="top"/>
    </xf>
    <xf numFmtId="0" fontId="15" fillId="19" borderId="0" applyAlignment="1" pivotButton="0" quotePrefix="0" xfId="0">
      <alignment horizontal="center" vertical="top"/>
    </xf>
    <xf numFmtId="0" fontId="16" fillId="19" borderId="0" applyAlignment="1" pivotButton="0" quotePrefix="0" xfId="0">
      <alignment horizontal="center" vertical="top"/>
    </xf>
    <xf numFmtId="0" fontId="17" fillId="17" borderId="0" applyAlignment="1" pivotButton="0" quotePrefix="0" xfId="0">
      <alignment horizontal="center" vertical="top"/>
    </xf>
    <xf numFmtId="164" fontId="4" fillId="16" borderId="0" applyAlignment="1" pivotButton="0" quotePrefix="0" xfId="0">
      <alignment horizontal="center" vertical="top"/>
    </xf>
    <xf numFmtId="0" fontId="4" fillId="16" borderId="0" applyAlignment="1" pivotButton="0" quotePrefix="0" xfId="0">
      <alignment horizontal="center" vertical="top" wrapText="1"/>
    </xf>
    <xf numFmtId="0" fontId="6" fillId="5" borderId="4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9" fillId="8" borderId="4" applyAlignment="1" pivotButton="0" quotePrefix="0" xfId="0">
      <alignment horizontal="center" vertical="center" wrapText="1"/>
    </xf>
    <xf numFmtId="0" fontId="10" fillId="9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center" vertical="center" wrapText="1"/>
    </xf>
    <xf numFmtId="0" fontId="12" fillId="11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0" borderId="8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top"/>
    </xf>
    <xf numFmtId="0" fontId="13" fillId="13" borderId="8" applyAlignment="1" pivotButton="0" quotePrefix="0" xfId="0">
      <alignment horizontal="center" vertical="top"/>
    </xf>
    <xf numFmtId="0" fontId="14" fillId="14" borderId="8" applyAlignment="1" pivotButton="0" quotePrefix="0" xfId="0">
      <alignment horizontal="center" vertical="top"/>
    </xf>
    <xf numFmtId="0" fontId="15" fillId="15" borderId="8" applyAlignment="1" pivotButton="0" quotePrefix="0" xfId="0">
      <alignment horizontal="center" vertical="top"/>
    </xf>
    <xf numFmtId="0" fontId="16" fillId="15" borderId="8" applyAlignment="1" pivotButton="0" quotePrefix="0" xfId="0">
      <alignment horizontal="center" vertical="top"/>
    </xf>
    <xf numFmtId="0" fontId="17" fillId="13" borderId="8" applyAlignment="1" pivotButton="0" quotePrefix="0" xfId="0">
      <alignment horizontal="center" vertical="top"/>
    </xf>
    <xf numFmtId="164" fontId="4" fillId="0" borderId="8" applyAlignment="1" pivotButton="0" quotePrefix="0" xfId="0">
      <alignment horizontal="center" vertical="top"/>
    </xf>
    <xf numFmtId="0" fontId="4" fillId="0" borderId="8" applyAlignment="1" pivotButton="0" quotePrefix="0" xfId="0">
      <alignment horizontal="center" vertical="top" wrapText="1"/>
    </xf>
    <xf numFmtId="0" fontId="0" fillId="0" borderId="9" pivotButton="0" quotePrefix="0" xfId="0"/>
    <xf numFmtId="0" fontId="3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center" vertical="top"/>
    </xf>
    <xf numFmtId="0" fontId="13" fillId="13" borderId="10" applyAlignment="1" pivotButton="0" quotePrefix="0" xfId="0">
      <alignment horizontal="center" vertical="top"/>
    </xf>
    <xf numFmtId="0" fontId="14" fillId="14" borderId="10" applyAlignment="1" pivotButton="0" quotePrefix="0" xfId="0">
      <alignment horizontal="center" vertical="top"/>
    </xf>
    <xf numFmtId="0" fontId="15" fillId="15" borderId="10" applyAlignment="1" pivotButton="0" quotePrefix="0" xfId="0">
      <alignment horizontal="center" vertical="top"/>
    </xf>
    <xf numFmtId="0" fontId="16" fillId="15" borderId="10" applyAlignment="1" pivotButton="0" quotePrefix="0" xfId="0">
      <alignment horizontal="center" vertical="top"/>
    </xf>
    <xf numFmtId="0" fontId="17" fillId="13" borderId="10" applyAlignment="1" pivotButton="0" quotePrefix="0" xfId="0">
      <alignment horizontal="center" vertical="top"/>
    </xf>
    <xf numFmtId="164" fontId="4" fillId="0" borderId="10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 vertical="top" wrapText="1"/>
    </xf>
    <xf numFmtId="0" fontId="6" fillId="5" borderId="4" applyAlignment="1" pivotButton="0" quotePrefix="0" xfId="0">
      <alignment horizontal="center" vertical="center" wrapText="1"/>
    </xf>
    <xf numFmtId="0" fontId="19" fillId="2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4" fillId="6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21" borderId="5" applyAlignment="1" pivotButton="0" quotePrefix="0" xfId="0">
      <alignment horizontal="center" vertical="center"/>
    </xf>
    <xf numFmtId="0" fontId="22" fillId="22" borderId="2" applyAlignment="1" pivotButton="0" quotePrefix="0" xfId="0">
      <alignment horizontal="center" vertical="center" wrapText="1"/>
    </xf>
    <xf numFmtId="0" fontId="22" fillId="22" borderId="7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21" pivotButton="0" quotePrefix="0" xfId="0"/>
    <xf numFmtId="0" fontId="0" fillId="0" borderId="22" pivotButton="0" quotePrefix="0" xfId="0"/>
    <xf numFmtId="0" fontId="23" fillId="0" borderId="0" pivotButton="0" quotePrefix="0" xfId="0"/>
    <xf numFmtId="0" fontId="23" fillId="0" borderId="3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0" borderId="0" pivotButton="0" quotePrefix="0" xfId="0"/>
    <xf numFmtId="0" fontId="26" fillId="23" borderId="23" applyAlignment="1" pivotButton="0" quotePrefix="0" xfId="0">
      <alignment horizontal="center" vertical="center"/>
    </xf>
  </cellXfs>
  <cellStyles count="1">
    <cellStyle name="Normal" xfId="0" builtinId="0"/>
  </cellStyles>
  <dxfs count="27">
    <dxf>
      <font>
        <name val="Arial"/>
        <charset val="1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3F3F3F"/>
        <sz val="10"/>
      </font>
      <fill>
        <patternFill>
          <bgColor rgb="FFE7E6E6"/>
        </patternFill>
      </fill>
    </dxf>
    <dxf>
      <font>
        <name val="Arial"/>
        <charset val="1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b val="1"/>
        <color rgb="FF843C0C"/>
        <sz val="10"/>
      </font>
      <fill>
        <patternFill>
          <bgColor rgb="FFFCE4D6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3F3F3F"/>
        <sz val="10"/>
      </font>
      <fill>
        <patternFill>
          <bgColor rgb="FFE7E6E6"/>
        </patternFill>
      </fill>
    </dxf>
    <dxf>
      <font>
        <name val="Arial"/>
        <charset val="1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b val="1"/>
        <color rgb="FF843C0C"/>
        <sz val="10"/>
      </font>
      <fill>
        <patternFill>
          <bgColor rgb="FFFCE4D6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3F3F3F"/>
        <sz val="10"/>
      </font>
      <fill>
        <patternFill>
          <bgColor rgb="FFE7E6E6"/>
        </patternFill>
      </fill>
    </dxf>
    <dxf>
      <font>
        <name val="Arial"/>
        <charset val="1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b val="1"/>
        <color rgb="FF843C0C"/>
        <sz val="10"/>
      </font>
      <fill>
        <patternFill>
          <bgColor rgb="FFFCE4D6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3F3F3F"/>
        <sz val="10"/>
      </font>
      <fill>
        <patternFill>
          <bgColor rgb="FFE7E6E6"/>
        </patternFill>
      </fill>
    </dxf>
    <dxf>
      <font>
        <name val="Arial"/>
        <charset val="1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b val="1"/>
        <color rgb="FF843C0C"/>
        <sz val="10"/>
      </font>
      <fill>
        <patternFill>
          <bgColor rgb="FFFCE4D6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6EFCE"/>
      <rgbColor rgb="FFFFEB9C"/>
      <rgbColor rgb="FFE7E6E6"/>
      <rgbColor rgb="FFFCE4D6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666699"/>
      <rgbColor rgb="FFA6A6A6"/>
      <rgbColor rgb="FF1F3864"/>
      <rgbColor rgb="FF548235"/>
      <rgbColor rgb="FF003300"/>
      <rgbColor rgb="FF333300"/>
      <rgbColor rgb="FF843C0C"/>
      <rgbColor rgb="FF993366"/>
      <rgbColor rgb="FF2E5C8A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 fitToPage="1"/>
  </sheetPr>
  <dimension ref="A1:F21"/>
  <sheetViews>
    <sheetView showGridLines="0" zoomScaleNormal="100" workbookViewId="0">
      <selection activeCell="A11" sqref="A11"/>
    </sheetView>
  </sheetViews>
  <sheetFormatPr baseColWidth="10" defaultColWidth="8.6640625" defaultRowHeight="15"/>
  <cols>
    <col width="22" customWidth="1" min="1" max="1"/>
    <col width="34" customWidth="1" min="2" max="2"/>
    <col width="16" customWidth="1" min="3" max="3"/>
    <col width="14" customWidth="1" min="4" max="4"/>
    <col width="44" customWidth="1" min="5" max="5"/>
    <col width="34" customWidth="1" min="6" max="6"/>
  </cols>
  <sheetData>
    <row r="1" ht="36" customHeight="1">
      <c r="A1" s="10" t="inlineStr">
        <is>
          <t>TEST CASE DOCUMENT</t>
        </is>
      </c>
      <c r="B1" s="94" t="n"/>
      <c r="C1" s="94" t="n"/>
      <c r="D1" s="94" t="n"/>
      <c r="E1" s="94" t="n"/>
      <c r="F1" s="94" t="n"/>
    </row>
    <row r="2" ht="15" customHeight="1">
      <c r="A2" s="9" t="inlineStr">
        <is>
          <t>Fleet Management — &lt;MODULE&gt;</t>
        </is>
      </c>
      <c r="B2" s="94" t="n"/>
      <c r="C2" s="94" t="n"/>
      <c r="D2" s="94" t="n"/>
      <c r="E2" s="94" t="n"/>
      <c r="F2" s="94" t="n"/>
    </row>
    <row r="4" ht="21.75" customHeight="1">
      <c r="A4" s="11" t="inlineStr">
        <is>
          <t>Project Name</t>
        </is>
      </c>
      <c r="B4" s="12" t="inlineStr">
        <is>
          <t>Fleet Management</t>
        </is>
      </c>
      <c r="C4" s="13" t="n"/>
      <c r="D4" s="11" t="inlineStr">
        <is>
          <t>Creator</t>
        </is>
      </c>
      <c r="E4" s="12" t="inlineStr">
        <is>
          <t>QA Team</t>
        </is>
      </c>
    </row>
    <row r="5" ht="21.75" customHeight="1">
      <c r="A5" s="11" t="inlineStr">
        <is>
          <t>Module Name</t>
        </is>
      </c>
      <c r="B5" s="12" t="inlineStr">
        <is>
          <t>&lt;MODULE&gt;</t>
        </is>
      </c>
      <c r="D5" s="11" t="inlineStr">
        <is>
          <t>Create Date</t>
        </is>
      </c>
      <c r="E5" s="12" t="inlineStr">
        <is>
          <t>&lt;DATE&gt;</t>
        </is>
      </c>
    </row>
    <row r="6" ht="21.75" customHeight="1">
      <c r="A6" s="11" t="inlineStr">
        <is>
          <t>Version</t>
        </is>
      </c>
      <c r="B6" s="12" t="inlineStr">
        <is>
          <t>&lt;VER&gt;</t>
        </is>
      </c>
      <c r="D6" s="11" t="inlineStr">
        <is>
          <t>Reviewer</t>
        </is>
      </c>
      <c r="E6" s="12" t="n"/>
    </row>
    <row r="7" ht="21.75" customHeight="1">
      <c r="A7" s="11" t="inlineStr">
        <is>
          <t>Source / Spec</t>
        </is>
      </c>
      <c r="B7" s="12" t="inlineStr">
        <is>
          <t>&lt;SOURCE&gt;</t>
        </is>
      </c>
      <c r="D7" s="11" t="inlineStr">
        <is>
          <t>Review Date</t>
        </is>
      </c>
      <c r="E7" s="12" t="n"/>
    </row>
    <row r="9" ht="24" customHeight="1">
      <c r="A9" s="8" t="inlineStr">
        <is>
          <t>RECORD OF CHANGE</t>
        </is>
      </c>
      <c r="B9" s="94" t="n"/>
      <c r="C9" s="94" t="n"/>
      <c r="D9" s="94" t="n"/>
      <c r="E9" s="94" t="n"/>
      <c r="F9" s="94" t="n"/>
    </row>
    <row r="10" ht="27.75" customHeight="1">
      <c r="A10" s="14" t="inlineStr">
        <is>
          <t>Effective Date</t>
        </is>
      </c>
      <c r="B10" s="14" t="inlineStr">
        <is>
          <t>Change Item</t>
        </is>
      </c>
      <c r="C10" s="14" t="inlineStr">
        <is>
          <t>Version</t>
        </is>
      </c>
      <c r="D10" s="14" t="inlineStr">
        <is>
          <t>*A, D, M</t>
        </is>
      </c>
      <c r="E10" s="14" t="inlineStr">
        <is>
          <t>Change Description</t>
        </is>
      </c>
      <c r="F10" s="14" t="inlineStr">
        <is>
          <t>Reference</t>
        </is>
      </c>
    </row>
    <row r="11">
      <c r="A11" s="15" t="n"/>
      <c r="B11" s="16" t="n"/>
      <c r="C11" s="15" t="n"/>
      <c r="D11" s="15" t="n"/>
      <c r="E11" s="16" t="n"/>
      <c r="F11" s="16" t="n"/>
    </row>
    <row r="12">
      <c r="A12" s="17" t="n"/>
      <c r="B12" s="17" t="n"/>
      <c r="C12" s="17" t="n"/>
      <c r="D12" s="17" t="n"/>
      <c r="E12" s="17" t="n"/>
      <c r="F12" s="17" t="n"/>
    </row>
    <row r="13">
      <c r="A13" s="18" t="n"/>
      <c r="B13" s="18" t="n"/>
      <c r="C13" s="18" t="n"/>
      <c r="D13" s="18" t="n"/>
      <c r="E13" s="18" t="n"/>
      <c r="F13" s="18" t="n"/>
    </row>
    <row r="14">
      <c r="A14" s="17" t="n"/>
      <c r="B14" s="17" t="n"/>
      <c r="C14" s="17" t="n"/>
      <c r="D14" s="17" t="n"/>
      <c r="E14" s="17" t="n"/>
      <c r="F14" s="17" t="n"/>
    </row>
    <row r="15">
      <c r="A15" s="18" t="n"/>
      <c r="B15" s="18" t="n"/>
      <c r="C15" s="18" t="n"/>
      <c r="D15" s="18" t="n"/>
      <c r="E15" s="18" t="n"/>
      <c r="F15" s="18" t="n"/>
    </row>
    <row r="16">
      <c r="A16" s="17" t="n"/>
      <c r="B16" s="17" t="n"/>
      <c r="C16" s="17" t="n"/>
      <c r="D16" s="17" t="n"/>
      <c r="E16" s="17" t="n"/>
      <c r="F16" s="17" t="n"/>
    </row>
    <row r="17">
      <c r="A17" s="18" t="n"/>
      <c r="B17" s="18" t="n"/>
      <c r="C17" s="18" t="n"/>
      <c r="D17" s="18" t="n"/>
      <c r="E17" s="18" t="n"/>
      <c r="F17" s="18" t="n"/>
    </row>
    <row r="18">
      <c r="A18" s="17" t="n"/>
      <c r="B18" s="17" t="n"/>
      <c r="C18" s="17" t="n"/>
      <c r="D18" s="17" t="n"/>
      <c r="E18" s="17" t="n"/>
      <c r="F18" s="17" t="n"/>
    </row>
    <row r="19">
      <c r="A19" s="18" t="n"/>
      <c r="B19" s="18" t="n"/>
      <c r="C19" s="18" t="n"/>
      <c r="D19" s="18" t="n"/>
      <c r="E19" s="18" t="n"/>
      <c r="F19" s="18" t="n"/>
    </row>
    <row r="21">
      <c r="A21" s="19" t="inlineStr">
        <is>
          <t>*A = Added   ·   D = Deleted   ·   M = Modified</t>
        </is>
      </c>
    </row>
  </sheetData>
  <mergeCells count="3">
    <mergeCell ref="A2:F2"/>
    <mergeCell ref="A1:F1"/>
    <mergeCell ref="A9:F9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P47"/>
  <sheetViews>
    <sheetView showGridLines="0" zoomScaleNormal="100" workbookViewId="0">
      <pane ySplit="3" topLeftCell="A4" activePane="bottomLeft" state="frozen"/>
      <selection pane="bottomLeft" activeCell="O19" sqref="O19"/>
    </sheetView>
  </sheetViews>
  <sheetFormatPr baseColWidth="10" defaultColWidth="8.6640625" defaultRowHeight="15"/>
  <cols>
    <col width="32" customWidth="1" min="1" max="1"/>
    <col width="10" customWidth="1" min="2" max="7"/>
    <col width="12" customWidth="1" min="8" max="9"/>
    <col width="20" customWidth="1" min="10" max="10"/>
  </cols>
  <sheetData>
    <row r="1" ht="33.75" customHeight="1">
      <c r="A1" s="7" t="inlineStr">
        <is>
          <t>TEST RESULT SUMMARY</t>
        </is>
      </c>
      <c r="B1" s="94" t="n"/>
      <c r="C1" s="94" t="n"/>
      <c r="D1" s="94" t="n"/>
      <c r="E1" s="94" t="n"/>
      <c r="F1" s="94" t="n"/>
      <c r="G1" s="94" t="n"/>
      <c r="H1" s="94" t="n"/>
      <c r="I1" s="94" t="n"/>
      <c r="J1" s="94" t="n"/>
    </row>
    <row r="2" ht="15" customHeight="1">
      <c r="A2" s="9" t="inlineStr">
        <is>
          <t>&lt;PROJECT&gt;   ·   &lt;MODULE&gt;   ·   Version &lt;VER&gt;   ·   All figures are live formulas over the "Test Cases" sheet.</t>
        </is>
      </c>
      <c r="B2" s="94" t="n"/>
      <c r="C2" s="94" t="n"/>
      <c r="D2" s="94" t="n"/>
      <c r="E2" s="94" t="n"/>
      <c r="F2" s="94" t="n"/>
      <c r="G2" s="94" t="n"/>
      <c r="H2" s="94" t="n"/>
      <c r="I2" s="94" t="n"/>
      <c r="J2" s="94" t="n"/>
    </row>
    <row r="4" ht="24" customHeight="1">
      <c r="A4" s="89" t="inlineStr">
        <is>
          <t>OVERALL</t>
        </is>
      </c>
      <c r="B4" s="94" t="n"/>
      <c r="C4" s="94" t="n"/>
      <c r="D4" s="94" t="n"/>
      <c r="E4" s="94" t="n"/>
      <c r="F4" s="94" t="n"/>
      <c r="G4" s="94" t="n"/>
      <c r="H4" s="94" t="n"/>
      <c r="I4" s="94" t="n"/>
      <c r="J4" s="94" t="n"/>
    </row>
    <row r="5" ht="27.75" customHeight="1">
      <c r="A5" s="91" t="inlineStr">
        <is>
          <t>Round</t>
        </is>
      </c>
      <c r="B5" s="91" t="inlineStr">
        <is>
          <t>Total</t>
        </is>
      </c>
      <c r="C5" s="53" t="inlineStr">
        <is>
          <t>Pass</t>
        </is>
      </c>
      <c r="D5" s="54" t="inlineStr">
        <is>
          <t>Fail</t>
        </is>
      </c>
      <c r="E5" s="55" t="inlineStr">
        <is>
          <t>Blocked</t>
        </is>
      </c>
      <c r="F5" s="56" t="inlineStr">
        <is>
          <t>Impact</t>
        </is>
      </c>
      <c r="G5" s="57" t="inlineStr">
        <is>
          <t>Not Run</t>
        </is>
      </c>
      <c r="H5" s="91" t="inlineStr">
        <is>
          <t>% Executed</t>
        </is>
      </c>
      <c r="I5" s="91" t="inlineStr">
        <is>
          <t>% Pass</t>
        </is>
      </c>
      <c r="J5" s="91" t="inlineStr">
        <is>
          <t>Status</t>
        </is>
      </c>
    </row>
    <row r="6">
      <c r="A6" s="59" t="inlineStr">
        <is>
          <t>Round 1</t>
        </is>
      </c>
      <c r="B6" s="60">
        <f>COUNTA('Test Cases'!$C$6:$C$33)</f>
        <v/>
      </c>
      <c r="C6" s="61">
        <f>COUNTIF('Test Cases'!$J$6:$J$33,"Pass")</f>
        <v/>
      </c>
      <c r="D6" s="62">
        <f>COUNTIF('Test Cases'!$J$6:$J$33,"Fail")</f>
        <v/>
      </c>
      <c r="E6" s="63">
        <f>COUNTIF('Test Cases'!$J$6:$J$33,"Blocked")</f>
        <v/>
      </c>
      <c r="F6" s="64">
        <f>COUNTIF('Test Cases'!$J$6:$J$33,"Impact")</f>
        <v/>
      </c>
      <c r="G6" s="65">
        <f>$B6-$C6-$D6-$E6-$F6</f>
        <v/>
      </c>
      <c r="H6" s="66">
        <f>IFERROR(($B6-$G6)/$B6,0)</f>
        <v/>
      </c>
      <c r="I6" s="66">
        <f>IFERROR($C6/($C6+$D6),0)</f>
        <v/>
      </c>
      <c r="J6" s="67">
        <f>IF($G6=$B6,"Not started",IF($D6&gt;0,"Needs attention",IF($G6&gt;0,"In progress","Completed")))</f>
        <v/>
      </c>
    </row>
    <row r="7">
      <c r="A7" s="69" t="inlineStr">
        <is>
          <t>Round 2</t>
        </is>
      </c>
      <c r="B7" s="70">
        <f>COUNTA('Test Cases'!$C$6:$C$33)</f>
        <v/>
      </c>
      <c r="C7" s="71">
        <f>COUNTIF('Test Cases'!$L$6:$L$33,"Pass")</f>
        <v/>
      </c>
      <c r="D7" s="72">
        <f>COUNTIF('Test Cases'!$L$6:$L$33,"Fail")</f>
        <v/>
      </c>
      <c r="E7" s="73">
        <f>COUNTIF('Test Cases'!$L$6:$L$33,"Blocked")</f>
        <v/>
      </c>
      <c r="F7" s="74">
        <f>COUNTIF('Test Cases'!$L$6:$L$33,"Impact")</f>
        <v/>
      </c>
      <c r="G7" s="75">
        <f>$B7-$C7-$D7-$E7-$F7</f>
        <v/>
      </c>
      <c r="H7" s="76">
        <f>IFERROR(($B7-$G7)/$B7,0)</f>
        <v/>
      </c>
      <c r="I7" s="76">
        <f>IFERROR($C7/($C7+$D7),0)</f>
        <v/>
      </c>
      <c r="J7" s="77">
        <f>IF($G7=$B7,"Not started",IF($D7&gt;0,"Needs attention",IF($G7&gt;0,"In progress","Completed")))</f>
        <v/>
      </c>
    </row>
    <row r="8" ht="30" customFormat="1" customHeight="1" s="42">
      <c r="A8" s="43" t="n"/>
      <c r="B8" s="44" t="n"/>
      <c r="C8" s="45" t="n"/>
      <c r="D8" s="46" t="n"/>
      <c r="E8" s="47" t="n"/>
      <c r="F8" s="48" t="n"/>
      <c r="G8" s="49" t="n"/>
      <c r="H8" s="50" t="n"/>
      <c r="I8" s="50" t="n"/>
      <c r="J8" s="51" t="n"/>
    </row>
    <row r="9" ht="24" customHeight="1">
      <c r="A9" s="90" t="inlineStr">
        <is>
          <t>COVERAGE BY TYPE</t>
        </is>
      </c>
      <c r="B9" s="95" t="n"/>
      <c r="C9" s="95" t="n"/>
      <c r="D9" s="95" t="n"/>
      <c r="E9" s="95" t="n"/>
      <c r="F9" s="95" t="n"/>
      <c r="G9" s="95" t="n"/>
      <c r="H9" s="95" t="n"/>
      <c r="I9" s="95" t="n"/>
      <c r="J9" s="95" t="n"/>
      <c r="P9" s="58" t="n"/>
    </row>
    <row r="10" ht="27.75" customHeight="1">
      <c r="A10" s="91" t="inlineStr">
        <is>
          <t>Type</t>
        </is>
      </c>
      <c r="B10" s="91" t="inlineStr">
        <is>
          <t>Total</t>
        </is>
      </c>
      <c r="C10" s="20" t="inlineStr">
        <is>
          <t>Pass</t>
        </is>
      </c>
      <c r="D10" s="21" t="inlineStr">
        <is>
          <t>Fail</t>
        </is>
      </c>
      <c r="E10" s="22" t="inlineStr">
        <is>
          <t>Blocked</t>
        </is>
      </c>
      <c r="F10" s="23" t="inlineStr">
        <is>
          <t>Impact</t>
        </is>
      </c>
      <c r="G10" s="24" t="inlineStr">
        <is>
          <t>Not Run</t>
        </is>
      </c>
      <c r="H10" s="91" t="inlineStr">
        <is>
          <t>% Executed</t>
        </is>
      </c>
      <c r="I10" s="91" t="inlineStr">
        <is>
          <t>% Pass</t>
        </is>
      </c>
      <c r="J10" s="91" t="inlineStr">
        <is>
          <t>Status</t>
        </is>
      </c>
    </row>
    <row r="11">
      <c r="A11" s="93" t="inlineStr">
        <is>
          <t>UI</t>
        </is>
      </c>
      <c r="B11" s="25">
        <f>COUNTIF('Test Cases'!$C$6:$C$33,$A11)</f>
        <v/>
      </c>
      <c r="C11" s="37">
        <f>COUNTIFS('Test Cases'!$C$6:$C$33,$A11,'Test Cases'!$J$6:$J$33,"Pass")</f>
        <v/>
      </c>
      <c r="D11" s="39">
        <f>COUNTIFS('Test Cases'!$C$6:$C$33,$A11,'Test Cases'!$J$6:$J$33,"Fail")</f>
        <v/>
      </c>
      <c r="E11" s="40">
        <f>COUNTIFS('Test Cases'!$C$6:$C$33,$A11,'Test Cases'!$J$6:$J$33,"Blocked")</f>
        <v/>
      </c>
      <c r="F11" s="41">
        <f>COUNTIFS('Test Cases'!$C$6:$C$33,$A11,'Test Cases'!$J$6:$J$33,"Impact")</f>
        <v/>
      </c>
      <c r="G11" s="38">
        <f>$B11-$C11-$D11-$E11-$F11</f>
        <v/>
      </c>
      <c r="H11" s="26">
        <f>IFERROR(($B11-$G11)/$B11,0)</f>
        <v/>
      </c>
      <c r="I11" s="26">
        <f>IFERROR($C11/($C11+$D11),0)</f>
        <v/>
      </c>
      <c r="J11" s="27">
        <f>IF($B11=0,"No case yet",IF($D11&gt;0,"Needs attention",IF($G11=$B11,"Not started",IF($G11&gt;0,"In progress","Completed"))))</f>
        <v/>
      </c>
    </row>
    <row r="12">
      <c r="A12" s="93" t="inlineStr">
        <is>
          <t>Validation</t>
        </is>
      </c>
      <c r="B12" s="25">
        <f>COUNTIF('Test Cases'!$C$6:$C$33,$A12)</f>
        <v/>
      </c>
      <c r="C12" s="37">
        <f>COUNTIFS('Test Cases'!$C$6:$C$33,$A12,'Test Cases'!$J$6:$J$33,"Pass")</f>
        <v/>
      </c>
      <c r="D12" s="39">
        <f>COUNTIFS('Test Cases'!$C$6:$C$33,$A12,'Test Cases'!$J$6:$J$33,"Fail")</f>
        <v/>
      </c>
      <c r="E12" s="40">
        <f>COUNTIFS('Test Cases'!$C$6:$C$33,$A12,'Test Cases'!$J$6:$J$33,"Blocked")</f>
        <v/>
      </c>
      <c r="F12" s="41">
        <f>COUNTIFS('Test Cases'!$C$6:$C$33,$A12,'Test Cases'!$J$6:$J$33,"Impact")</f>
        <v/>
      </c>
      <c r="G12" s="38">
        <f>$B12-$C12-$D12-$E12-$F12</f>
        <v/>
      </c>
      <c r="H12" s="26">
        <f>IFERROR(($B12-$G12)/$B12,0)</f>
        <v/>
      </c>
      <c r="I12" s="26">
        <f>IFERROR($C12/($C12+$D12),0)</f>
        <v/>
      </c>
      <c r="J12" s="27">
        <f>IF($B12=0,"No case yet",IF($D12&gt;0,"Needs attention",IF($G12=$B12,"Not started",IF($G12&gt;0,"In progress","Completed"))))</f>
        <v/>
      </c>
    </row>
    <row r="13">
      <c r="A13" s="93" t="inlineStr">
        <is>
          <t>Boundary</t>
        </is>
      </c>
      <c r="B13" s="25">
        <f>COUNTIF('Test Cases'!$C$6:$C$33,$A13)</f>
        <v/>
      </c>
      <c r="C13" s="37">
        <f>COUNTIFS('Test Cases'!$C$6:$C$33,$A13,'Test Cases'!$J$6:$J$33,"Pass")</f>
        <v/>
      </c>
      <c r="D13" s="39">
        <f>COUNTIFS('Test Cases'!$C$6:$C$33,$A13,'Test Cases'!$J$6:$J$33,"Fail")</f>
        <v/>
      </c>
      <c r="E13" s="40">
        <f>COUNTIFS('Test Cases'!$C$6:$C$33,$A13,'Test Cases'!$J$6:$J$33,"Blocked")</f>
        <v/>
      </c>
      <c r="F13" s="41">
        <f>COUNTIFS('Test Cases'!$C$6:$C$33,$A13,'Test Cases'!$J$6:$J$33,"Impact")</f>
        <v/>
      </c>
      <c r="G13" s="38">
        <f>$B13-$C13-$D13-$E13-$F13</f>
        <v/>
      </c>
      <c r="H13" s="26">
        <f>IFERROR(($B13-$G13)/$B13,0)</f>
        <v/>
      </c>
      <c r="I13" s="26">
        <f>IFERROR($C13/($C13+$D13),0)</f>
        <v/>
      </c>
      <c r="J13" s="27">
        <f>IF($B13=0,"No case yet",IF($D13&gt;0,"Needs attention",IF($G13=$B13,"Not started",IF($G13&gt;0,"In progress","Completed"))))</f>
        <v/>
      </c>
    </row>
    <row r="14">
      <c r="A14" s="93" t="inlineStr">
        <is>
          <t>Negative</t>
        </is>
      </c>
      <c r="B14" s="25">
        <f>COUNTIF('Test Cases'!$C$6:$C$33,$A14)</f>
        <v/>
      </c>
      <c r="C14" s="37">
        <f>COUNTIFS('Test Cases'!$C$6:$C$33,$A14,'Test Cases'!$J$6:$J$33,"Pass")</f>
        <v/>
      </c>
      <c r="D14" s="39">
        <f>COUNTIFS('Test Cases'!$C$6:$C$33,$A14,'Test Cases'!$J$6:$J$33,"Fail")</f>
        <v/>
      </c>
      <c r="E14" s="40">
        <f>COUNTIFS('Test Cases'!$C$6:$C$33,$A14,'Test Cases'!$J$6:$J$33,"Blocked")</f>
        <v/>
      </c>
      <c r="F14" s="41">
        <f>COUNTIFS('Test Cases'!$C$6:$C$33,$A14,'Test Cases'!$J$6:$J$33,"Impact")</f>
        <v/>
      </c>
      <c r="G14" s="38">
        <f>$B14-$C14-$D14-$E14-$F14</f>
        <v/>
      </c>
      <c r="H14" s="26">
        <f>IFERROR(($B14-$G14)/$B14,0)</f>
        <v/>
      </c>
      <c r="I14" s="26">
        <f>IFERROR($C14/($C14+$D14),0)</f>
        <v/>
      </c>
      <c r="J14" s="27">
        <f>IF($B14=0,"No case yet",IF($D14&gt;0,"Needs attention",IF($G14=$B14,"Not started",IF($G14&gt;0,"In progress","Completed"))))</f>
        <v/>
      </c>
    </row>
    <row r="15">
      <c r="A15" s="93" t="inlineStr">
        <is>
          <t>Functional</t>
        </is>
      </c>
      <c r="B15" s="25">
        <f>COUNTIF('Test Cases'!$C$6:$C$33,$A15)</f>
        <v/>
      </c>
      <c r="C15" s="37">
        <f>COUNTIFS('Test Cases'!$C$6:$C$33,$A15,'Test Cases'!$J$6:$J$33,"Pass")</f>
        <v/>
      </c>
      <c r="D15" s="39">
        <f>COUNTIFS('Test Cases'!$C$6:$C$33,$A15,'Test Cases'!$J$6:$J$33,"Fail")</f>
        <v/>
      </c>
      <c r="E15" s="40">
        <f>COUNTIFS('Test Cases'!$C$6:$C$33,$A15,'Test Cases'!$J$6:$J$33,"Blocked")</f>
        <v/>
      </c>
      <c r="F15" s="41">
        <f>COUNTIFS('Test Cases'!$C$6:$C$33,$A15,'Test Cases'!$J$6:$J$33,"Impact")</f>
        <v/>
      </c>
      <c r="G15" s="38">
        <f>$B15-$C15-$D15-$E15-$F15</f>
        <v/>
      </c>
      <c r="H15" s="26">
        <f>IFERROR(($B15-$G15)/$B15,0)</f>
        <v/>
      </c>
      <c r="I15" s="26">
        <f>IFERROR($C15/($C15+$D15),0)</f>
        <v/>
      </c>
      <c r="J15" s="27">
        <f>IF($B15=0,"No case yet",IF($D15&gt;0,"Needs attention",IF($G15=$B15,"Not started",IF($G15&gt;0,"In progress","Completed"))))</f>
        <v/>
      </c>
    </row>
    <row r="16">
      <c r="A16" s="93" t="inlineStr">
        <is>
          <t>Business rule</t>
        </is>
      </c>
      <c r="B16" s="25">
        <f>COUNTIF('Test Cases'!$C$6:$C$33,$A16)</f>
        <v/>
      </c>
      <c r="C16" s="37">
        <f>COUNTIFS('Test Cases'!$C$6:$C$33,$A16,'Test Cases'!$J$6:$J$33,"Pass")</f>
        <v/>
      </c>
      <c r="D16" s="39">
        <f>COUNTIFS('Test Cases'!$C$6:$C$33,$A16,'Test Cases'!$J$6:$J$33,"Fail")</f>
        <v/>
      </c>
      <c r="E16" s="40">
        <f>COUNTIFS('Test Cases'!$C$6:$C$33,$A16,'Test Cases'!$J$6:$J$33,"Blocked")</f>
        <v/>
      </c>
      <c r="F16" s="41">
        <f>COUNTIFS('Test Cases'!$C$6:$C$33,$A16,'Test Cases'!$J$6:$J$33,"Impact")</f>
        <v/>
      </c>
      <c r="G16" s="38">
        <f>$B16-$C16-$D16-$E16-$F16</f>
        <v/>
      </c>
      <c r="H16" s="26">
        <f>IFERROR(($B16-$G16)/$B16,0)</f>
        <v/>
      </c>
      <c r="I16" s="26">
        <f>IFERROR($C16/($C16+$D16),0)</f>
        <v/>
      </c>
      <c r="J16" s="27">
        <f>IF($B16=0,"No case yet",IF($D16&gt;0,"Needs attention",IF($G16=$B16,"Not started",IF($G16&gt;0,"In progress","Completed"))))</f>
        <v/>
      </c>
    </row>
    <row r="17">
      <c r="A17" s="93" t="inlineStr">
        <is>
          <t>API</t>
        </is>
      </c>
      <c r="B17" s="25">
        <f>COUNTIF('Test Cases'!$C$6:$C$33,$A17)</f>
        <v/>
      </c>
      <c r="C17" s="37">
        <f>COUNTIFS('Test Cases'!$C$6:$C$33,$A17,'Test Cases'!$J$6:$J$33,"Pass")</f>
        <v/>
      </c>
      <c r="D17" s="39">
        <f>COUNTIFS('Test Cases'!$C$6:$C$33,$A17,'Test Cases'!$J$6:$J$33,"Fail")</f>
        <v/>
      </c>
      <c r="E17" s="40">
        <f>COUNTIFS('Test Cases'!$C$6:$C$33,$A17,'Test Cases'!$J$6:$J$33,"Blocked")</f>
        <v/>
      </c>
      <c r="F17" s="41">
        <f>COUNTIFS('Test Cases'!$C$6:$C$33,$A17,'Test Cases'!$J$6:$J$33,"Impact")</f>
        <v/>
      </c>
      <c r="G17" s="38">
        <f>$B17-$C17-$D17-$E17-$F17</f>
        <v/>
      </c>
      <c r="H17" s="26">
        <f>IFERROR(($B17-$G17)/$B17,0)</f>
        <v/>
      </c>
      <c r="I17" s="26">
        <f>IFERROR($C17/($C17+$D17),0)</f>
        <v/>
      </c>
      <c r="J17" s="27">
        <f>IF($B17=0,"No case yet",IF($D17&gt;0,"Needs attention",IF($G17=$B17,"Not started",IF($G17&gt;0,"In progress","Completed"))))</f>
        <v/>
      </c>
    </row>
    <row r="18" ht="36" customHeight="1"/>
    <row r="19" ht="24" customHeight="1">
      <c r="A19" s="89" t="inlineStr">
        <is>
          <t>RESULT BY SECTION</t>
        </is>
      </c>
      <c r="B19" s="94" t="n"/>
      <c r="C19" s="94" t="n"/>
      <c r="D19" s="94" t="n"/>
      <c r="E19" s="94" t="n"/>
      <c r="F19" s="94" t="n"/>
      <c r="G19" s="94" t="n"/>
      <c r="H19" s="94" t="n"/>
      <c r="I19" s="94" t="n"/>
      <c r="J19" s="94" t="n"/>
    </row>
    <row r="20" ht="27.75" customHeight="1">
      <c r="A20" s="91" t="inlineStr">
        <is>
          <t>Section</t>
        </is>
      </c>
      <c r="B20" s="91" t="inlineStr">
        <is>
          <t>Total</t>
        </is>
      </c>
      <c r="C20" s="20" t="inlineStr">
        <is>
          <t>Pass</t>
        </is>
      </c>
      <c r="D20" s="21" t="inlineStr">
        <is>
          <t>Fail</t>
        </is>
      </c>
      <c r="E20" s="22" t="inlineStr">
        <is>
          <t>Blocked</t>
        </is>
      </c>
      <c r="F20" s="23" t="inlineStr">
        <is>
          <t>Impact</t>
        </is>
      </c>
      <c r="G20" s="24" t="inlineStr">
        <is>
          <t>Not Run</t>
        </is>
      </c>
      <c r="H20" s="91" t="inlineStr">
        <is>
          <t>% Executed</t>
        </is>
      </c>
      <c r="I20" s="91" t="inlineStr">
        <is>
          <t>% Pass</t>
        </is>
      </c>
      <c r="J20" s="91" t="inlineStr">
        <is>
          <t>Status</t>
        </is>
      </c>
    </row>
    <row r="21">
      <c r="A21" s="93" t="n"/>
      <c r="B21" s="25">
        <f>COUNTIF('Test Cases'!$B$6:$B$33,$A21)</f>
        <v/>
      </c>
      <c r="C21" s="37">
        <f>COUNTIFS('Test Cases'!$B$6:$B$33,$A21,'Test Cases'!$J$6:$J$33,"Pass")</f>
        <v/>
      </c>
      <c r="D21" s="39">
        <f>COUNTIFS('Test Cases'!$B$6:$B$33,$A21,'Test Cases'!$J$6:$J$33,"Fail")</f>
        <v/>
      </c>
      <c r="E21" s="40">
        <f>COUNTIFS('Test Cases'!$B$6:$B$33,$A21,'Test Cases'!$J$6:$J$33,"Blocked")</f>
        <v/>
      </c>
      <c r="F21" s="41">
        <f>COUNTIFS('Test Cases'!$B$6:$B$33,$A21,'Test Cases'!$J$6:$J$33,"Impact")</f>
        <v/>
      </c>
      <c r="G21" s="38">
        <f>$B21-$C21-$D21-$E21-$F21</f>
        <v/>
      </c>
      <c r="H21" s="26">
        <f>IFERROR(($B21-$G21)/$B21,0)</f>
        <v/>
      </c>
      <c r="I21" s="26">
        <f>IFERROR($C21/($C21+$D21),0)</f>
        <v/>
      </c>
      <c r="J21" s="27">
        <f>IF($B21=0,"No case yet",IF($D21&gt;0,"Needs attention",IF($G21=$B21,"Not started",IF($G21&gt;0,"In progress","Completed"))))</f>
        <v/>
      </c>
    </row>
    <row r="22">
      <c r="A22" s="93" t="n"/>
      <c r="B22" s="25">
        <f>COUNTIF('Test Cases'!$B$6:$B$33,$A22)</f>
        <v/>
      </c>
      <c r="C22" s="37">
        <f>COUNTIFS('Test Cases'!$B$6:$B$33,$A22,'Test Cases'!$J$6:$J$33,"Pass")</f>
        <v/>
      </c>
      <c r="D22" s="39">
        <f>COUNTIFS('Test Cases'!$B$6:$B$33,$A22,'Test Cases'!$J$6:$J$33,"Fail")</f>
        <v/>
      </c>
      <c r="E22" s="40">
        <f>COUNTIFS('Test Cases'!$B$6:$B$33,$A22,'Test Cases'!$J$6:$J$33,"Blocked")</f>
        <v/>
      </c>
      <c r="F22" s="41">
        <f>COUNTIFS('Test Cases'!$B$6:$B$33,$A22,'Test Cases'!$J$6:$J$33,"Impact")</f>
        <v/>
      </c>
      <c r="G22" s="38">
        <f>$B22-$C22-$D22-$E22-$F22</f>
        <v/>
      </c>
      <c r="H22" s="26">
        <f>IFERROR(($B22-$G22)/$B22,0)</f>
        <v/>
      </c>
      <c r="I22" s="26">
        <f>IFERROR($C22/($C22+$D22),0)</f>
        <v/>
      </c>
      <c r="J22" s="27">
        <f>IF($B22=0,"No case yet",IF($D22&gt;0,"Needs attention",IF($G22=$B22,"Not started",IF($G22&gt;0,"In progress","Completed"))))</f>
        <v/>
      </c>
    </row>
    <row r="23">
      <c r="A23" s="93" t="n"/>
      <c r="B23" s="25">
        <f>COUNTIF('Test Cases'!$B$6:$B$33,$A23)</f>
        <v/>
      </c>
      <c r="C23" s="37">
        <f>COUNTIFS('Test Cases'!$B$6:$B$33,$A23,'Test Cases'!$J$6:$J$33,"Pass")</f>
        <v/>
      </c>
      <c r="D23" s="39">
        <f>COUNTIFS('Test Cases'!$B$6:$B$33,$A23,'Test Cases'!$J$6:$J$33,"Fail")</f>
        <v/>
      </c>
      <c r="E23" s="40">
        <f>COUNTIFS('Test Cases'!$B$6:$B$33,$A23,'Test Cases'!$J$6:$J$33,"Blocked")</f>
        <v/>
      </c>
      <c r="F23" s="41">
        <f>COUNTIFS('Test Cases'!$B$6:$B$33,$A23,'Test Cases'!$J$6:$J$33,"Impact")</f>
        <v/>
      </c>
      <c r="G23" s="38">
        <f>$B23-$C23-$D23-$E23-$F23</f>
        <v/>
      </c>
      <c r="H23" s="26">
        <f>IFERROR(($B23-$G23)/$B23,0)</f>
        <v/>
      </c>
      <c r="I23" s="26">
        <f>IFERROR($C23/($C23+$D23),0)</f>
        <v/>
      </c>
      <c r="J23" s="27">
        <f>IF($B23=0,"No case yet",IF($D23&gt;0,"Needs attention",IF($G23=$B23,"Not started",IF($G23&gt;0,"In progress","Completed"))))</f>
        <v/>
      </c>
    </row>
    <row r="24">
      <c r="A24" s="93" t="n"/>
      <c r="B24" s="25">
        <f>COUNTIF('Test Cases'!$B$6:$B$33,$A24)</f>
        <v/>
      </c>
      <c r="C24" s="37">
        <f>COUNTIFS('Test Cases'!$B$6:$B$33,$A24,'Test Cases'!$J$6:$J$33,"Pass")</f>
        <v/>
      </c>
      <c r="D24" s="39">
        <f>COUNTIFS('Test Cases'!$B$6:$B$33,$A24,'Test Cases'!$J$6:$J$33,"Fail")</f>
        <v/>
      </c>
      <c r="E24" s="40">
        <f>COUNTIFS('Test Cases'!$B$6:$B$33,$A24,'Test Cases'!$J$6:$J$33,"Blocked")</f>
        <v/>
      </c>
      <c r="F24" s="41">
        <f>COUNTIFS('Test Cases'!$B$6:$B$33,$A24,'Test Cases'!$J$6:$J$33,"Impact")</f>
        <v/>
      </c>
      <c r="G24" s="38">
        <f>$B24-$C24-$D24-$E24-$F24</f>
        <v/>
      </c>
      <c r="H24" s="26">
        <f>IFERROR(($B24-$G24)/$B24,0)</f>
        <v/>
      </c>
      <c r="I24" s="26">
        <f>IFERROR($C24/($C24+$D24),0)</f>
        <v/>
      </c>
      <c r="J24" s="27">
        <f>IF($B24=0,"No case yet",IF($D24&gt;0,"Needs attention",IF($G24=$B24,"Not started",IF($G24&gt;0,"In progress","Completed"))))</f>
        <v/>
      </c>
    </row>
    <row r="25" ht="37" customHeight="1">
      <c r="A25" s="93" t="n"/>
      <c r="B25" s="25">
        <f>COUNTIF('Test Cases'!$B$6:$B$33,$A25)</f>
        <v/>
      </c>
      <c r="C25" s="37">
        <f>COUNTIFS('Test Cases'!$B$6:$B$33,$A25,'Test Cases'!$J$6:$J$33,"Pass")</f>
        <v/>
      </c>
      <c r="D25" s="39">
        <f>COUNTIFS('Test Cases'!$B$6:$B$33,$A25,'Test Cases'!$J$6:$J$33,"Fail")</f>
        <v/>
      </c>
      <c r="E25" s="40">
        <f>COUNTIFS('Test Cases'!$B$6:$B$33,$A25,'Test Cases'!$J$6:$J$33,"Blocked")</f>
        <v/>
      </c>
      <c r="F25" s="41">
        <f>COUNTIFS('Test Cases'!$B$6:$B$33,$A25,'Test Cases'!$J$6:$J$33,"Impact")</f>
        <v/>
      </c>
      <c r="G25" s="38">
        <f>$B25-$C25-$D25-$E25-$F25</f>
        <v/>
      </c>
      <c r="H25" s="26">
        <f>IFERROR(($B25-$G25)/$B25,0)</f>
        <v/>
      </c>
      <c r="I25" s="26">
        <f>IFERROR($C25/($C25+$D25),0)</f>
        <v/>
      </c>
      <c r="J25" s="27">
        <f>IF($B25=0,"No case yet",IF($D25&gt;0,"Needs attention",IF($G25=$B25,"Not started",IF($G25&gt;0,"In progress","Completed"))))</f>
        <v/>
      </c>
    </row>
    <row r="26" ht="24" customHeight="1">
      <c r="A26" s="93" t="n"/>
      <c r="B26" s="25">
        <f>COUNTIF('Test Cases'!$B$6:$B$33,$A26)</f>
        <v/>
      </c>
      <c r="C26" s="37">
        <f>COUNTIFS('Test Cases'!$B$6:$B$33,$A26,'Test Cases'!$J$6:$J$33,"Pass")</f>
        <v/>
      </c>
      <c r="D26" s="39">
        <f>COUNTIFS('Test Cases'!$B$6:$B$33,$A26,'Test Cases'!$J$6:$J$33,"Fail")</f>
        <v/>
      </c>
      <c r="E26" s="40">
        <f>COUNTIFS('Test Cases'!$B$6:$B$33,$A26,'Test Cases'!$J$6:$J$33,"Blocked")</f>
        <v/>
      </c>
      <c r="F26" s="41">
        <f>COUNTIFS('Test Cases'!$B$6:$B$33,$A26,'Test Cases'!$J$6:$J$33,"Impact")</f>
        <v/>
      </c>
      <c r="G26" s="38">
        <f>$B26-$C26-$D26-$E26-$F26</f>
        <v/>
      </c>
      <c r="H26" s="26">
        <f>IFERROR(($B26-$G26)/$B26,0)</f>
        <v/>
      </c>
      <c r="I26" s="26">
        <f>IFERROR($C26/($C26+$D26),0)</f>
        <v/>
      </c>
      <c r="J26" s="27">
        <f>IF($B26=0,"No case yet",IF($D26&gt;0,"Needs attention",IF($G26=$B26,"Not started",IF($G26&gt;0,"In progress","Completed"))))</f>
        <v/>
      </c>
      <c r="N26" s="68" t="n"/>
    </row>
    <row r="27" ht="27.75" customHeight="1">
      <c r="A27" s="93" t="n"/>
      <c r="B27" s="25">
        <f>COUNTIF('Test Cases'!$B$6:$B$33,$A27)</f>
        <v/>
      </c>
      <c r="C27" s="37">
        <f>COUNTIFS('Test Cases'!$B$6:$B$33,$A27,'Test Cases'!$J$6:$J$33,"Pass")</f>
        <v/>
      </c>
      <c r="D27" s="39">
        <f>COUNTIFS('Test Cases'!$B$6:$B$33,$A27,'Test Cases'!$J$6:$J$33,"Fail")</f>
        <v/>
      </c>
      <c r="E27" s="40">
        <f>COUNTIFS('Test Cases'!$B$6:$B$33,$A27,'Test Cases'!$J$6:$J$33,"Blocked")</f>
        <v/>
      </c>
      <c r="F27" s="41">
        <f>COUNTIFS('Test Cases'!$B$6:$B$33,$A27,'Test Cases'!$J$6:$J$33,"Impact")</f>
        <v/>
      </c>
      <c r="G27" s="38">
        <f>$B27-$C27-$D27-$E27-$F27</f>
        <v/>
      </c>
      <c r="H27" s="26">
        <f>IFERROR(($B27-$G27)/$B27,0)</f>
        <v/>
      </c>
      <c r="I27" s="26">
        <f>IFERROR($C27/($C27+$D27),0)</f>
        <v/>
      </c>
      <c r="J27" s="27">
        <f>IF($B27=0,"No case yet",IF($D27&gt;0,"Needs attention",IF($G27=$B27,"Not started",IF($G27&gt;0,"In progress","Completed"))))</f>
        <v/>
      </c>
    </row>
    <row r="28">
      <c r="A28" s="93" t="n"/>
      <c r="B28" s="25">
        <f>COUNTIF('Test Cases'!$B$6:$B$33,$A28)</f>
        <v/>
      </c>
      <c r="C28" s="37">
        <f>COUNTIFS('Test Cases'!$B$6:$B$33,$A28,'Test Cases'!$J$6:$J$33,"Pass")</f>
        <v/>
      </c>
      <c r="D28" s="39">
        <f>COUNTIFS('Test Cases'!$B$6:$B$33,$A28,'Test Cases'!$J$6:$J$33,"Fail")</f>
        <v/>
      </c>
      <c r="E28" s="40">
        <f>COUNTIFS('Test Cases'!$B$6:$B$33,$A28,'Test Cases'!$J$6:$J$33,"Blocked")</f>
        <v/>
      </c>
      <c r="F28" s="41">
        <f>COUNTIFS('Test Cases'!$B$6:$B$33,$A28,'Test Cases'!$J$6:$J$33,"Impact")</f>
        <v/>
      </c>
      <c r="G28" s="38">
        <f>$B28-$C28-$D28-$E28-$F28</f>
        <v/>
      </c>
      <c r="H28" s="26">
        <f>IFERROR(($B28-$G28)/$B28,0)</f>
        <v/>
      </c>
      <c r="I28" s="26">
        <f>IFERROR($C28/($C28+$D28),0)</f>
        <v/>
      </c>
      <c r="J28" s="27">
        <f>IF($B28=0,"No case yet",IF($D28&gt;0,"Needs attention",IF($G28=$B28,"Not started",IF($G28&gt;0,"In progress","Completed"))))</f>
        <v/>
      </c>
    </row>
    <row r="29">
      <c r="A29" s="93" t="n"/>
      <c r="B29" s="25">
        <f>COUNTIF('Test Cases'!$B$6:$B$33,$A29)</f>
        <v/>
      </c>
      <c r="C29" s="37">
        <f>COUNTIFS('Test Cases'!$B$6:$B$33,$A29,'Test Cases'!$J$6:$J$33,"Pass")</f>
        <v/>
      </c>
      <c r="D29" s="39">
        <f>COUNTIFS('Test Cases'!$B$6:$B$33,$A29,'Test Cases'!$J$6:$J$33,"Fail")</f>
        <v/>
      </c>
      <c r="E29" s="40">
        <f>COUNTIFS('Test Cases'!$B$6:$B$33,$A29,'Test Cases'!$J$6:$J$33,"Blocked")</f>
        <v/>
      </c>
      <c r="F29" s="41">
        <f>COUNTIFS('Test Cases'!$B$6:$B$33,$A29,'Test Cases'!$J$6:$J$33,"Impact")</f>
        <v/>
      </c>
      <c r="G29" s="38">
        <f>$B29-$C29-$D29-$E29-$F29</f>
        <v/>
      </c>
      <c r="H29" s="26">
        <f>IFERROR(($B29-$G29)/$B29,0)</f>
        <v/>
      </c>
      <c r="I29" s="26">
        <f>IFERROR($C29/($C29+$D29),0)</f>
        <v/>
      </c>
      <c r="J29" s="27">
        <f>IF($B29=0,"No case yet",IF($D29&gt;0,"Needs attention",IF($G29=$B29,"Not started",IF($G29&gt;0,"In progress","Completed"))))</f>
        <v/>
      </c>
    </row>
    <row r="30">
      <c r="A30" s="93" t="n"/>
      <c r="B30" s="25">
        <f>COUNTIF('Test Cases'!$B$6:$B$33,$A30)</f>
        <v/>
      </c>
      <c r="C30" s="37">
        <f>COUNTIFS('Test Cases'!$B$6:$B$33,$A30,'Test Cases'!$J$6:$J$33,"Pass")</f>
        <v/>
      </c>
      <c r="D30" s="39">
        <f>COUNTIFS('Test Cases'!$B$6:$B$33,$A30,'Test Cases'!$J$6:$J$33,"Fail")</f>
        <v/>
      </c>
      <c r="E30" s="40">
        <f>COUNTIFS('Test Cases'!$B$6:$B$33,$A30,'Test Cases'!$J$6:$J$33,"Blocked")</f>
        <v/>
      </c>
      <c r="F30" s="41">
        <f>COUNTIFS('Test Cases'!$B$6:$B$33,$A30,'Test Cases'!$J$6:$J$33,"Impact")</f>
        <v/>
      </c>
      <c r="G30" s="38">
        <f>$B30-$C30-$D30-$E30-$F30</f>
        <v/>
      </c>
      <c r="H30" s="26">
        <f>IFERROR(($B30-$G30)/$B30,0)</f>
        <v/>
      </c>
      <c r="I30" s="26">
        <f>IFERROR($C30/($C30+$D30),0)</f>
        <v/>
      </c>
      <c r="J30" s="27">
        <f>IF($B30=0,"No case yet",IF($D30&gt;0,"Needs attention",IF($G30=$B30,"Not started",IF($G30&gt;0,"In progress","Completed"))))</f>
        <v/>
      </c>
    </row>
    <row r="31" ht="43" customHeight="1">
      <c r="A31" s="93" t="n"/>
      <c r="B31" s="25">
        <f>COUNTIF('Test Cases'!$B$6:$B$33,$A31)</f>
        <v/>
      </c>
      <c r="C31" s="37">
        <f>COUNTIFS('Test Cases'!$B$6:$B$33,$A31,'Test Cases'!$J$6:$J$33,"Pass")</f>
        <v/>
      </c>
      <c r="D31" s="39">
        <f>COUNTIFS('Test Cases'!$B$6:$B$33,$A31,'Test Cases'!$J$6:$J$33,"Fail")</f>
        <v/>
      </c>
      <c r="E31" s="40">
        <f>COUNTIFS('Test Cases'!$B$6:$B$33,$A31,'Test Cases'!$J$6:$J$33,"Blocked")</f>
        <v/>
      </c>
      <c r="F31" s="41">
        <f>COUNTIFS('Test Cases'!$B$6:$B$33,$A31,'Test Cases'!$J$6:$J$33,"Impact")</f>
        <v/>
      </c>
      <c r="G31" s="38">
        <f>$B31-$C31-$D31-$E31-$F31</f>
        <v/>
      </c>
      <c r="H31" s="26">
        <f>IFERROR(($B31-$G31)/$B31,0)</f>
        <v/>
      </c>
      <c r="I31" s="26">
        <f>IFERROR($C31/($C31+$D31),0)</f>
        <v/>
      </c>
      <c r="J31" s="27">
        <f>IF($B31=0,"No case yet",IF($D31&gt;0,"Needs attention",IF($G31=$B31,"Not started",IF($G31&gt;0,"In progress","Completed"))))</f>
        <v/>
      </c>
    </row>
    <row r="32" ht="24" customHeight="1">
      <c r="A32" s="93" t="n"/>
      <c r="B32" s="25">
        <f>COUNTIF('Test Cases'!$B$6:$B$33,$A32)</f>
        <v/>
      </c>
      <c r="C32" s="37">
        <f>COUNTIFS('Test Cases'!$B$6:$B$33,$A32,'Test Cases'!$J$6:$J$33,"Pass")</f>
        <v/>
      </c>
      <c r="D32" s="39">
        <f>COUNTIFS('Test Cases'!$B$6:$B$33,$A32,'Test Cases'!$J$6:$J$33,"Fail")</f>
        <v/>
      </c>
      <c r="E32" s="40">
        <f>COUNTIFS('Test Cases'!$B$6:$B$33,$A32,'Test Cases'!$J$6:$J$33,"Blocked")</f>
        <v/>
      </c>
      <c r="F32" s="41">
        <f>COUNTIFS('Test Cases'!$B$6:$B$33,$A32,'Test Cases'!$J$6:$J$33,"Impact")</f>
        <v/>
      </c>
      <c r="G32" s="38">
        <f>$B32-$C32-$D32-$E32-$F32</f>
        <v/>
      </c>
      <c r="H32" s="26">
        <f>IFERROR(($B32-$G32)/$B32,0)</f>
        <v/>
      </c>
      <c r="I32" s="26">
        <f>IFERROR($C32/($C32+$D32),0)</f>
        <v/>
      </c>
      <c r="J32" s="27">
        <f>IF($B32=0,"No case yet",IF($D32&gt;0,"Needs attention",IF($G32=$B32,"Not started",IF($G32&gt;0,"In progress","Completed"))))</f>
        <v/>
      </c>
    </row>
    <row r="33" ht="37" customHeight="1"/>
    <row r="34" ht="24" customHeight="1">
      <c r="A34" s="89" t="inlineStr">
        <is>
          <t>RESULT BY PRIORITY</t>
        </is>
      </c>
      <c r="B34" s="94" t="n"/>
      <c r="C34" s="94" t="n"/>
      <c r="D34" s="94" t="n"/>
      <c r="E34" s="94" t="n"/>
      <c r="F34" s="94" t="n"/>
      <c r="G34" s="94" t="n"/>
      <c r="H34" s="94" t="n"/>
      <c r="I34" s="94" t="n"/>
      <c r="J34" s="94" t="n"/>
    </row>
    <row r="35" ht="27.75" customHeight="1">
      <c r="A35" s="91" t="inlineStr">
        <is>
          <t>Priority</t>
        </is>
      </c>
      <c r="B35" s="91" t="inlineStr">
        <is>
          <t>Total</t>
        </is>
      </c>
      <c r="C35" s="20" t="inlineStr">
        <is>
          <t>Pass</t>
        </is>
      </c>
      <c r="D35" s="21" t="inlineStr">
        <is>
          <t>Fail</t>
        </is>
      </c>
      <c r="E35" s="22" t="inlineStr">
        <is>
          <t>Blocked</t>
        </is>
      </c>
      <c r="F35" s="23" t="inlineStr">
        <is>
          <t>Impact</t>
        </is>
      </c>
      <c r="G35" s="24" t="inlineStr">
        <is>
          <t>Not Run</t>
        </is>
      </c>
      <c r="H35" s="91" t="inlineStr">
        <is>
          <t>% Executed</t>
        </is>
      </c>
      <c r="I35" s="91" t="inlineStr">
        <is>
          <t>% Pass</t>
        </is>
      </c>
      <c r="J35" s="92" t="inlineStr">
        <is>
          <t>Status</t>
        </is>
      </c>
    </row>
    <row r="36" ht="24" customHeight="1">
      <c r="A36" s="93" t="inlineStr">
        <is>
          <t>High</t>
        </is>
      </c>
      <c r="B36" s="25">
        <f>COUNTIF('Test Cases'!$D$6:$D$33,$A36)</f>
        <v/>
      </c>
      <c r="C36" s="37">
        <f>COUNTIFS('Test Cases'!$D$6:$D$33,$A36,'Test Cases'!$J$6:$J$33,"Pass")</f>
        <v/>
      </c>
      <c r="D36" s="39">
        <f>COUNTIFS('Test Cases'!$D$6:$D$33,$A36,'Test Cases'!$J$6:$J$33,"Fail")</f>
        <v/>
      </c>
      <c r="E36" s="40">
        <f>COUNTIFS('Test Cases'!$D$6:$D$33,$A36,'Test Cases'!$J$6:$J$33,"Blocked")</f>
        <v/>
      </c>
      <c r="F36" s="41">
        <f>COUNTIFS('Test Cases'!$D$6:$D$33,$A36,'Test Cases'!$J$6:$J$33,"Impact")</f>
        <v/>
      </c>
      <c r="G36" s="38">
        <f>$B36-$C36-$D36-$E36-$F36</f>
        <v/>
      </c>
      <c r="H36" s="26">
        <f>IFERROR(($B36-$G36)/$B36,0)</f>
        <v/>
      </c>
      <c r="I36" s="26">
        <f>IFERROR($C36/($C36+$D36),0)</f>
        <v/>
      </c>
      <c r="J36" s="27">
        <f>IF($B36=0,"No case yet",IF($D36&gt;0,"Needs attention",IF($G36=$B36,"Not started",IF($G36&gt;0,"In progress","Completed"))))</f>
        <v/>
      </c>
    </row>
    <row r="37" ht="24" customHeight="1">
      <c r="A37" s="93" t="inlineStr">
        <is>
          <t>Medium</t>
        </is>
      </c>
      <c r="B37" s="25">
        <f>COUNTIF('Test Cases'!$D$6:$D$33,$A37)</f>
        <v/>
      </c>
      <c r="C37" s="37">
        <f>COUNTIFS('Test Cases'!$D$6:$D$33,$A37,'Test Cases'!$J$6:$J$33,"Pass")</f>
        <v/>
      </c>
      <c r="D37" s="39">
        <f>COUNTIFS('Test Cases'!$D$6:$D$33,$A37,'Test Cases'!$J$6:$J$33,"Fail")</f>
        <v/>
      </c>
      <c r="E37" s="40">
        <f>COUNTIFS('Test Cases'!$D$6:$D$33,$A37,'Test Cases'!$J$6:$J$33,"Blocked")</f>
        <v/>
      </c>
      <c r="F37" s="41">
        <f>COUNTIFS('Test Cases'!$D$6:$D$33,$A37,'Test Cases'!$J$6:$J$33,"Impact")</f>
        <v/>
      </c>
      <c r="G37" s="38">
        <f>$B37-$C37-$D37-$E37-$F37</f>
        <v/>
      </c>
      <c r="H37" s="26">
        <f>IFERROR(($B37-$G37)/$B37,0)</f>
        <v/>
      </c>
      <c r="I37" s="26">
        <f>IFERROR($C37/($C37+$D37),0)</f>
        <v/>
      </c>
      <c r="J37" s="27">
        <f>IF($B37=0,"No case yet",IF($D37&gt;0,"Needs attention",IF($G37=$B37,"Not started",IF($G37&gt;0,"In progress","Completed"))))</f>
        <v/>
      </c>
    </row>
    <row r="38">
      <c r="A38" s="93" t="inlineStr">
        <is>
          <t>Low</t>
        </is>
      </c>
      <c r="B38" s="25">
        <f>COUNTIF('Test Cases'!$D$6:$D$33,$A38)</f>
        <v/>
      </c>
      <c r="C38" s="37">
        <f>COUNTIFS('Test Cases'!$D$6:$D$33,$A38,'Test Cases'!$J$6:$J$33,"Pass")</f>
        <v/>
      </c>
      <c r="D38" s="39">
        <f>COUNTIFS('Test Cases'!$D$6:$D$33,$A38,'Test Cases'!$J$6:$J$33,"Fail")</f>
        <v/>
      </c>
      <c r="E38" s="40">
        <f>COUNTIFS('Test Cases'!$D$6:$D$33,$A38,'Test Cases'!$J$6:$J$33,"Blocked")</f>
        <v/>
      </c>
      <c r="F38" s="41">
        <f>COUNTIFS('Test Cases'!$D$6:$D$33,$A38,'Test Cases'!$J$6:$J$33,"Impact")</f>
        <v/>
      </c>
      <c r="G38" s="38">
        <f>$B38-$C38-$D38-$E38-$F38</f>
        <v/>
      </c>
      <c r="H38" s="26">
        <f>IFERROR(($B38-$G38)/$B38,0)</f>
        <v/>
      </c>
      <c r="I38" s="26">
        <f>IFERROR($C38/($C38+$D38),0)</f>
        <v/>
      </c>
      <c r="J38" s="27">
        <f>IF($B38=0,"No case yet",IF($D38&gt;0,"Needs attention",IF($G38=$B38,"Not started",IF($G38&gt;0,"In progress","Completed"))))</f>
        <v/>
      </c>
    </row>
    <row r="39" ht="43" customHeight="1"/>
    <row r="40" ht="24" customHeight="1">
      <c r="A40" s="89" t="inlineStr">
        <is>
          <t>LEGEND — status colours used on the Test Cases sheets</t>
        </is>
      </c>
      <c r="B40" s="94" t="n"/>
      <c r="C40" s="94" t="n"/>
      <c r="D40" s="94" t="n"/>
      <c r="E40" s="94" t="n"/>
      <c r="F40" s="94" t="n"/>
      <c r="G40" s="94" t="n"/>
      <c r="H40" s="94" t="n"/>
      <c r="I40" s="94" t="n"/>
      <c r="J40" s="94" t="n"/>
    </row>
    <row r="41" ht="24" customHeight="1">
      <c r="A41" s="28" t="inlineStr">
        <is>
          <t>Pass</t>
        </is>
      </c>
      <c r="B41" s="12" t="inlineStr">
        <is>
          <t>Actual result matches the Expected Result.</t>
        </is>
      </c>
      <c r="C41" s="94" t="n"/>
      <c r="D41" s="94" t="n"/>
      <c r="E41" s="94" t="n"/>
      <c r="F41" s="94" t="n"/>
      <c r="G41" s="94" t="n"/>
      <c r="H41" s="94" t="n"/>
      <c r="I41" s="94" t="n"/>
      <c r="J41" s="96" t="n"/>
    </row>
    <row r="42" ht="24" customHeight="1">
      <c r="A42" s="29" t="inlineStr">
        <is>
          <t>Fail</t>
        </is>
      </c>
      <c r="B42" s="12" t="inlineStr">
        <is>
          <t>Actual result differs from the Expected Result. A Bug ID and a row in Defects &amp; Follow-ups are required.</t>
        </is>
      </c>
      <c r="C42" s="94" t="n"/>
      <c r="D42" s="94" t="n"/>
      <c r="E42" s="94" t="n"/>
      <c r="F42" s="94" t="n"/>
      <c r="G42" s="94" t="n"/>
      <c r="H42" s="94" t="n"/>
      <c r="I42" s="94" t="n"/>
      <c r="J42" s="96" t="n"/>
    </row>
    <row r="43" ht="24" customHeight="1">
      <c r="A43" s="30" t="inlineStr">
        <is>
          <t>Blocked</t>
        </is>
      </c>
      <c r="B43" s="12" t="inlineStr">
        <is>
          <t>Cannot be executed automatically yet — dependency unresolved (build, test data, env) OR the case must be run manually. Manual cases MUST have Note starting with [MANUAL].</t>
        </is>
      </c>
      <c r="C43" s="94" t="n"/>
      <c r="D43" s="94" t="n"/>
      <c r="E43" s="94" t="n"/>
      <c r="F43" s="94" t="n"/>
      <c r="G43" s="94" t="n"/>
      <c r="H43" s="94" t="n"/>
      <c r="I43" s="94" t="n"/>
      <c r="J43" s="96" t="n"/>
    </row>
    <row r="44" ht="24" customHeight="1">
      <c r="A44" s="31" t="inlineStr">
        <is>
          <t>Impact</t>
        </is>
      </c>
      <c r="B44" s="12" t="inlineStr">
        <is>
          <t>Not re-executed but affected by a change elsewhere. Needs assessment.</t>
        </is>
      </c>
      <c r="C44" s="94" t="n"/>
      <c r="D44" s="94" t="n"/>
      <c r="E44" s="94" t="n"/>
      <c r="F44" s="94" t="n"/>
      <c r="G44" s="94" t="n"/>
      <c r="H44" s="94" t="n"/>
      <c r="I44" s="94" t="n"/>
      <c r="J44" s="96" t="n"/>
    </row>
    <row r="45" ht="24" customHeight="1">
      <c r="A45" s="32" t="inlineStr">
        <is>
          <t>Not Run</t>
        </is>
      </c>
      <c r="B45" s="12" t="inlineStr">
        <is>
          <t>Not executed yet.</t>
        </is>
      </c>
      <c r="C45" s="94" t="n"/>
      <c r="D45" s="94" t="n"/>
      <c r="E45" s="94" t="n"/>
      <c r="F45" s="94" t="n"/>
      <c r="G45" s="94" t="n"/>
      <c r="H45" s="94" t="n"/>
      <c r="I45" s="94" t="n"/>
      <c r="J45" s="96" t="n"/>
    </row>
    <row r="46"/>
    <row r="47">
      <c r="A47" s="19" t="inlineStr">
        <is>
          <t>Every figure above is a live formula over the "Test Cases" sheet, so adding or editing a case updates it automatically. A Total highlighted in red under COVERAGE BY TYPE means that type has no test case yet.</t>
        </is>
      </c>
    </row>
  </sheetData>
  <mergeCells count="12">
    <mergeCell ref="A1:J1"/>
    <mergeCell ref="B42:J42"/>
    <mergeCell ref="A40:J40"/>
    <mergeCell ref="A9:J9"/>
    <mergeCell ref="B45:J45"/>
    <mergeCell ref="A34:J34"/>
    <mergeCell ref="B41:J41"/>
    <mergeCell ref="A4:J4"/>
    <mergeCell ref="A2:J2"/>
    <mergeCell ref="B43:J43"/>
    <mergeCell ref="B44:J44"/>
    <mergeCell ref="A19:J19"/>
  </mergeCells>
  <conditionalFormatting sqref="B11:B17">
    <cfRule type="cellIs" priority="2" operator="equal" dxfId="1">
      <formula>0</formula>
    </cfRule>
  </conditionalFormatting>
  <conditionalFormatting sqref="J6:J8">
    <cfRule type="cellIs" priority="3" operator="equal" dxfId="1">
      <formula>"Needs attention"</formula>
    </cfRule>
  </conditionalFormatting>
  <conditionalFormatting sqref="J11:J17">
    <cfRule type="cellIs" priority="4" operator="equal" dxfId="1">
      <formula>"Needs attention"</formula>
    </cfRule>
  </conditionalFormatting>
  <conditionalFormatting sqref="J21:J24">
    <cfRule type="cellIs" priority="5" operator="equal" dxfId="1">
      <formula>"Needs attention"</formula>
    </cfRule>
  </conditionalFormatting>
  <pageMargins left="0.75" right="0.75" top="1" bottom="1" header="0.511811023622047" footer="0.511811023622047"/>
  <pageSetup orientation="landscape" fitToHeight="0" horizontalDpi="300" verticalDpi="300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N33"/>
  <sheetViews>
    <sheetView showGridLines="0" zoomScaleNormal="100" workbookViewId="0">
      <pane xSplit="2" ySplit="5" topLeftCell="F6" activePane="bottomRight" state="frozen"/>
      <selection pane="topRight" activeCell="C1" sqref="C1"/>
      <selection pane="bottomLeft" activeCell="A6" sqref="A6"/>
      <selection pane="bottomRight" activeCell="F38" sqref="F38"/>
    </sheetView>
  </sheetViews>
  <sheetFormatPr baseColWidth="10" defaultColWidth="8.6640625" defaultRowHeight="15"/>
  <cols>
    <col width="13" customWidth="1" min="1" max="1"/>
    <col width="22" customWidth="1" min="2" max="2"/>
    <col width="14" customWidth="1" min="3" max="3"/>
    <col width="10" customWidth="1" min="4" max="4"/>
    <col width="46" customWidth="1" min="5" max="5"/>
    <col width="30" customWidth="1" min="6" max="6"/>
    <col width="46" customWidth="1" min="7" max="7"/>
    <col width="26" customWidth="1" min="8" max="8"/>
    <col width="48" customWidth="1" min="9" max="9"/>
    <col width="12" customWidth="1" min="10" max="10"/>
    <col width="13" customWidth="1" min="11" max="11"/>
    <col width="12" customWidth="1" min="12" max="12"/>
    <col width="13" customWidth="1" min="13" max="13"/>
    <col width="30" customWidth="1" min="14" max="14"/>
  </cols>
  <sheetData>
    <row r="1" ht="30" customHeight="1">
      <c r="A1" s="5" t="inlineStr">
        <is>
          <t>&lt;MODULE&gt; — Test Cases</t>
        </is>
      </c>
      <c r="B1" s="94" t="n"/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4" t="n"/>
      <c r="N1" s="94" t="n"/>
    </row>
    <row r="2" ht="15" customHeight="1">
      <c r="A2" s="9" t="inlineStr">
        <is>
          <t>Source: &lt;SOURCE&gt;   ·   Version &lt;VER&gt;   ·   &lt;DATE&gt;</t>
        </is>
      </c>
      <c r="B2" s="94" t="n"/>
      <c r="C2" s="94" t="n"/>
      <c r="D2" s="94" t="n"/>
      <c r="E2" s="94" t="n"/>
      <c r="F2" s="94" t="n"/>
      <c r="G2" s="94" t="n"/>
      <c r="H2" s="94" t="n"/>
      <c r="I2" s="94" t="n"/>
      <c r="J2" s="94" t="n"/>
      <c r="K2" s="94" t="n"/>
      <c r="L2" s="94" t="n"/>
      <c r="M2" s="94" t="n"/>
      <c r="N2" s="94" t="n"/>
    </row>
    <row r="4" ht="18" customHeight="1">
      <c r="A4" s="14" t="inlineStr">
        <is>
          <t>ID</t>
        </is>
      </c>
      <c r="B4" s="14" t="inlineStr">
        <is>
          <t>Section</t>
        </is>
      </c>
      <c r="C4" s="14" t="inlineStr">
        <is>
          <t>Type</t>
        </is>
      </c>
      <c r="D4" s="14" t="inlineStr">
        <is>
          <t>Priority</t>
        </is>
      </c>
      <c r="E4" s="14" t="inlineStr">
        <is>
          <t>Test Case Title</t>
        </is>
      </c>
      <c r="F4" s="14" t="inlineStr">
        <is>
          <t>Precondition</t>
        </is>
      </c>
      <c r="G4" s="14" t="inlineStr">
        <is>
          <t>Test Steps</t>
        </is>
      </c>
      <c r="H4" s="14" t="inlineStr">
        <is>
          <t>Test Data</t>
        </is>
      </c>
      <c r="I4" s="14" t="inlineStr">
        <is>
          <t>Expected Result</t>
        </is>
      </c>
      <c r="J4" s="3" t="inlineStr">
        <is>
          <t>Round 1</t>
        </is>
      </c>
      <c r="K4" s="96" t="n"/>
      <c r="L4" s="3" t="inlineStr">
        <is>
          <t>Round 2</t>
        </is>
      </c>
      <c r="M4" s="96" t="n"/>
      <c r="N4" s="14" t="inlineStr">
        <is>
          <t>Note / Ref</t>
        </is>
      </c>
    </row>
    <row r="5" ht="30" customHeight="1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78" t="inlineStr">
        <is>
          <t>Result</t>
        </is>
      </c>
      <c r="K5" s="78" t="inlineStr">
        <is>
          <t>Bug ID</t>
        </is>
      </c>
      <c r="L5" s="78" t="inlineStr">
        <is>
          <t>Result</t>
        </is>
      </c>
      <c r="M5" s="78" t="inlineStr">
        <is>
          <t>Bug ID</t>
        </is>
      </c>
      <c r="N5" s="97" t="n"/>
    </row>
    <row r="6" customFormat="1" s="80">
      <c r="A6" s="100" t="n"/>
      <c r="B6" s="100" t="n"/>
      <c r="C6" s="100" t="n"/>
      <c r="D6" s="100" t="n"/>
      <c r="E6" s="100" t="n"/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</row>
    <row r="7" customFormat="1" s="80">
      <c r="A7" s="100" t="n"/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</row>
    <row r="8" customFormat="1" s="80">
      <c r="A8" s="100" t="n"/>
      <c r="B8" s="100" t="n"/>
      <c r="C8" s="100" t="n"/>
      <c r="D8" s="100" t="n"/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</row>
    <row r="9" customFormat="1" s="80">
      <c r="A9" s="100" t="n"/>
      <c r="B9" s="100" t="n"/>
      <c r="C9" s="100" t="n"/>
      <c r="D9" s="100" t="n"/>
      <c r="E9" s="100" t="n"/>
      <c r="F9" s="100" t="n"/>
      <c r="G9" s="100" t="n"/>
      <c r="H9" s="100" t="n"/>
      <c r="I9" s="100" t="n"/>
      <c r="J9" s="100" t="n"/>
      <c r="K9" s="100" t="n"/>
      <c r="L9" s="100" t="n"/>
      <c r="M9" s="100" t="n"/>
      <c r="N9" s="100" t="n"/>
    </row>
    <row r="10" customFormat="1" s="80">
      <c r="A10" s="100" t="n"/>
      <c r="B10" s="100" t="n"/>
      <c r="C10" s="100" t="n"/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</row>
    <row r="11" customFormat="1" s="80">
      <c r="A11" s="100" t="n"/>
      <c r="B11" s="100" t="n"/>
      <c r="C11" s="100" t="n"/>
      <c r="D11" s="100" t="n"/>
      <c r="E11" s="100" t="n"/>
      <c r="F11" s="100" t="n"/>
      <c r="G11" s="100" t="n"/>
      <c r="H11" s="100" t="n"/>
      <c r="I11" s="100" t="n"/>
      <c r="J11" s="100" t="n"/>
      <c r="K11" s="100" t="n"/>
      <c r="L11" s="100" t="n"/>
      <c r="M11" s="100" t="n"/>
      <c r="N11" s="100" t="n"/>
    </row>
    <row r="12" customFormat="1" s="80">
      <c r="A12" s="100" t="n"/>
      <c r="B12" s="100" t="n"/>
      <c r="C12" s="100" t="n"/>
      <c r="D12" s="100" t="n"/>
      <c r="E12" s="100" t="n"/>
      <c r="F12" s="100" t="n"/>
      <c r="G12" s="100" t="n"/>
      <c r="H12" s="100" t="n"/>
      <c r="I12" s="100" t="n"/>
      <c r="J12" s="100" t="n"/>
      <c r="K12" s="100" t="n"/>
      <c r="L12" s="100" t="n"/>
      <c r="M12" s="100" t="n"/>
      <c r="N12" s="100" t="n"/>
    </row>
    <row r="13" customFormat="1" s="80">
      <c r="A13" s="100" t="n"/>
      <c r="B13" s="100" t="n"/>
      <c r="C13" s="100" t="n"/>
      <c r="D13" s="100" t="n"/>
      <c r="E13" s="100" t="n"/>
      <c r="F13" s="100" t="n"/>
      <c r="G13" s="100" t="n"/>
      <c r="H13" s="100" t="n"/>
      <c r="I13" s="100" t="n"/>
      <c r="J13" s="100" t="n"/>
      <c r="K13" s="100" t="n"/>
      <c r="L13" s="100" t="n"/>
      <c r="M13" s="100" t="n"/>
      <c r="N13" s="100" t="n"/>
    </row>
    <row r="14" customFormat="1" s="80">
      <c r="A14" s="100" t="n"/>
      <c r="B14" s="100" t="n"/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</row>
    <row r="15" customFormat="1" s="80">
      <c r="A15" s="100" t="n"/>
      <c r="B15" s="100" t="n"/>
      <c r="C15" s="100" t="n"/>
      <c r="D15" s="100" t="n"/>
      <c r="E15" s="100" t="n"/>
      <c r="F15" s="100" t="n"/>
      <c r="G15" s="100" t="n"/>
      <c r="H15" s="100" t="n"/>
      <c r="I15" s="100" t="n"/>
      <c r="J15" s="100" t="n"/>
      <c r="K15" s="100" t="n"/>
      <c r="L15" s="100" t="n"/>
      <c r="M15" s="100" t="n"/>
      <c r="N15" s="100" t="n"/>
    </row>
    <row r="16" customFormat="1" s="80">
      <c r="A16" s="100" t="n"/>
      <c r="B16" s="100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</row>
    <row r="17" customFormat="1" s="80">
      <c r="A17" s="100" t="n"/>
      <c r="B17" s="100" t="n"/>
      <c r="C17" s="100" t="n"/>
      <c r="D17" s="100" t="n"/>
      <c r="E17" s="100" t="n"/>
      <c r="F17" s="100" t="n"/>
      <c r="G17" s="100" t="n"/>
      <c r="H17" s="100" t="n"/>
      <c r="I17" s="100" t="n"/>
      <c r="J17" s="100" t="n"/>
      <c r="K17" s="100" t="n"/>
      <c r="L17" s="100" t="n"/>
      <c r="M17" s="100" t="n"/>
      <c r="N17" s="100" t="n"/>
    </row>
    <row r="18" customFormat="1" s="80">
      <c r="A18" s="100" t="n"/>
      <c r="B18" s="100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</row>
    <row r="19" customFormat="1" s="80">
      <c r="A19" s="100" t="n"/>
      <c r="B19" s="100" t="n"/>
      <c r="C19" s="100" t="n"/>
      <c r="D19" s="100" t="n"/>
      <c r="E19" s="100" t="n"/>
      <c r="F19" s="100" t="n"/>
      <c r="G19" s="100" t="n"/>
      <c r="H19" s="100" t="n"/>
      <c r="I19" s="100" t="n"/>
      <c r="J19" s="100" t="n"/>
      <c r="K19" s="100" t="n"/>
      <c r="L19" s="100" t="n"/>
      <c r="M19" s="100" t="n"/>
      <c r="N19" s="100" t="n"/>
    </row>
    <row r="20" customFormat="1" s="80">
      <c r="A20" s="100" t="n"/>
      <c r="B20" s="100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</row>
    <row r="21" customFormat="1" s="80">
      <c r="A21" s="100" t="n"/>
      <c r="B21" s="100" t="n"/>
      <c r="C21" s="100" t="n"/>
      <c r="D21" s="100" t="n"/>
      <c r="E21" s="100" t="n"/>
      <c r="F21" s="100" t="n"/>
      <c r="G21" s="100" t="n"/>
      <c r="H21" s="100" t="n"/>
      <c r="I21" s="100" t="n"/>
      <c r="J21" s="100" t="n"/>
      <c r="K21" s="100" t="n"/>
      <c r="L21" s="100" t="n"/>
      <c r="M21" s="100" t="n"/>
      <c r="N21" s="100" t="n"/>
    </row>
    <row r="22" customFormat="1" s="80">
      <c r="A22" s="100" t="n"/>
      <c r="B22" s="100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</row>
    <row r="23" customFormat="1" s="80">
      <c r="A23" s="100" t="n"/>
      <c r="B23" s="100" t="n"/>
      <c r="C23" s="100" t="n"/>
      <c r="D23" s="100" t="n"/>
      <c r="E23" s="100" t="n"/>
      <c r="F23" s="100" t="n"/>
      <c r="G23" s="100" t="n"/>
      <c r="H23" s="100" t="n"/>
      <c r="I23" s="100" t="n"/>
      <c r="J23" s="100" t="n"/>
      <c r="K23" s="100" t="n"/>
      <c r="L23" s="100" t="n"/>
      <c r="M23" s="100" t="n"/>
      <c r="N23" s="100" t="n"/>
    </row>
    <row r="24" customFormat="1" s="80">
      <c r="A24" s="100" t="n"/>
      <c r="B24" s="100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</row>
    <row r="25" customFormat="1" s="80">
      <c r="A25" s="100" t="n"/>
      <c r="B25" s="100" t="n"/>
      <c r="C25" s="100" t="n"/>
      <c r="D25" s="100" t="n"/>
      <c r="E25" s="100" t="n"/>
      <c r="F25" s="100" t="n"/>
      <c r="G25" s="100" t="n"/>
      <c r="H25" s="100" t="n"/>
      <c r="I25" s="100" t="n"/>
      <c r="J25" s="100" t="n"/>
      <c r="K25" s="100" t="n"/>
      <c r="L25" s="100" t="n"/>
      <c r="M25" s="100" t="n"/>
      <c r="N25" s="100" t="n"/>
    </row>
    <row r="26" customFormat="1" s="80">
      <c r="A26" s="100" t="n"/>
      <c r="B26" s="100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</row>
    <row r="27" customFormat="1" s="80">
      <c r="A27" s="100" t="n"/>
      <c r="B27" s="100" t="n"/>
      <c r="C27" s="100" t="n"/>
      <c r="D27" s="100" t="n"/>
      <c r="E27" s="100" t="n"/>
      <c r="F27" s="100" t="n"/>
      <c r="G27" s="100" t="n"/>
      <c r="H27" s="100" t="n"/>
      <c r="I27" s="100" t="n"/>
      <c r="J27" s="100" t="n"/>
      <c r="K27" s="100" t="n"/>
      <c r="L27" s="100" t="n"/>
      <c r="M27" s="100" t="n"/>
      <c r="N27" s="100" t="n"/>
    </row>
    <row r="28" customFormat="1" s="80">
      <c r="A28" s="100" t="n"/>
      <c r="B28" s="100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</row>
    <row r="29" customFormat="1" s="80">
      <c r="A29" s="100" t="n"/>
      <c r="B29" s="100" t="n"/>
      <c r="C29" s="100" t="n"/>
      <c r="D29" s="100" t="n"/>
      <c r="E29" s="100" t="n"/>
      <c r="F29" s="100" t="n"/>
      <c r="G29" s="100" t="n"/>
      <c r="H29" s="100" t="n"/>
      <c r="I29" s="100" t="n"/>
      <c r="J29" s="100" t="n"/>
      <c r="K29" s="100" t="n"/>
      <c r="L29" s="100" t="n"/>
      <c r="M29" s="100" t="n"/>
      <c r="N29" s="100" t="n"/>
    </row>
    <row r="30" customFormat="1" s="80">
      <c r="A30" s="100" t="n"/>
      <c r="B30" s="100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</row>
    <row r="31" customFormat="1" s="80">
      <c r="A31" s="100" t="n"/>
      <c r="B31" s="100" t="n"/>
      <c r="C31" s="100" t="n"/>
      <c r="D31" s="100" t="n"/>
      <c r="E31" s="100" t="n"/>
      <c r="F31" s="100" t="n"/>
      <c r="G31" s="100" t="n"/>
      <c r="H31" s="100" t="n"/>
      <c r="I31" s="100" t="n"/>
      <c r="J31" s="100" t="n"/>
      <c r="K31" s="100" t="n"/>
      <c r="L31" s="100" t="n"/>
      <c r="M31" s="100" t="n"/>
      <c r="N31" s="100" t="n"/>
    </row>
    <row r="32" customFormat="1" s="80">
      <c r="A32" s="100" t="n"/>
      <c r="B32" s="100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</row>
    <row r="33" customFormat="1" s="80">
      <c r="A33" s="100" t="n"/>
      <c r="B33" s="100" t="n"/>
      <c r="C33" s="100" t="n"/>
      <c r="D33" s="100" t="n"/>
      <c r="E33" s="100" t="n"/>
      <c r="F33" s="100" t="n"/>
      <c r="G33" s="100" t="n"/>
      <c r="H33" s="100" t="n"/>
      <c r="I33" s="100" t="n"/>
      <c r="J33" s="100" t="n"/>
      <c r="K33" s="100" t="n"/>
      <c r="L33" s="100" t="n"/>
      <c r="M33" s="100" t="n"/>
      <c r="N33" s="100" t="n"/>
    </row>
  </sheetData>
  <autoFilter ref="A5:N33"/>
  <mergeCells count="14">
    <mergeCell ref="J4:K4"/>
    <mergeCell ref="L4:M4"/>
    <mergeCell ref="B4:B5"/>
    <mergeCell ref="C4:C5"/>
    <mergeCell ref="A4:A5"/>
    <mergeCell ref="F4:F5"/>
    <mergeCell ref="D4:D5"/>
    <mergeCell ref="A2:N2"/>
    <mergeCell ref="E4:E5"/>
    <mergeCell ref="G4:G5"/>
    <mergeCell ref="H4:H5"/>
    <mergeCell ref="I4:I5"/>
    <mergeCell ref="N4:N5"/>
    <mergeCell ref="A1:N1"/>
  </mergeCells>
  <conditionalFormatting sqref="J6:J306">
    <cfRule type="cellIs" priority="2" operator="equal" dxfId="0">
      <formula>"Pass"</formula>
    </cfRule>
    <cfRule type="cellIs" priority="3" operator="equal" dxfId="1">
      <formula>"Fail"</formula>
    </cfRule>
    <cfRule type="cellIs" priority="4" operator="equal" dxfId="5">
      <formula>"Blocked"</formula>
    </cfRule>
    <cfRule type="cellIs" priority="5" operator="equal" dxfId="4">
      <formula>"Impact"</formula>
    </cfRule>
    <cfRule type="cellIs" priority="6" operator="equal" dxfId="3">
      <formula>"Not Run"</formula>
    </cfRule>
  </conditionalFormatting>
  <conditionalFormatting sqref="L6:L306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5">
      <formula>"Blocked"</formula>
    </cfRule>
    <cfRule type="cellIs" priority="10" operator="equal" dxfId="4">
      <formula>"Impact"</formula>
    </cfRule>
    <cfRule type="cellIs" priority="11" operator="equal" dxfId="3">
      <formula>"Not Run"</formula>
    </cfRule>
  </conditionalFormatting>
  <dataValidations count="3">
    <dataValidation sqref="C6:C306" showDropDown="0" showInputMessage="0" showErrorMessage="0" allowBlank="1" promptTitle="Select a value" prompt="Pick one of: UI, Validation, Boundary, Negative, Functional, Business rule, API" type="list">
      <formula1>"UI,Validation,Boundary,Negative,Functional,Business rule,API"</formula1>
      <formula2>0</formula2>
    </dataValidation>
    <dataValidation sqref="D6:D306" showDropDown="0" showInputMessage="0" showErrorMessage="0" allowBlank="1" promptTitle="Select a value" prompt="Pick one of: High, Medium, Low" type="list">
      <formula1>"High,Medium,Low"</formula1>
      <formula2>0</formula2>
    </dataValidation>
    <dataValidation sqref="J6:J306 L6:L306" showDropDown="0" showInputMessage="0" showErrorMessage="0" allowBlank="1" promptTitle="Select a value" prompt="Pick one of: Pass, Fail, Blocked, Impact, Not Run" type="list">
      <formula1>"Pass,Fail,Blocked,Impact,Not Run"</formula1>
      <formula2>0</formula2>
    </dataValidation>
  </dataValidations>
  <pageMargins left="0.75" right="0.75" top="1" bottom="1" header="0.511811023622047" footer="0.511811023622047"/>
  <pageSetup orientation="landscape" fitToHeight="0" horizontalDpi="300" verticalDpi="300"/>
</worksheet>
</file>

<file path=xl/worksheets/sheet4.xml><?xml version="1.0" encoding="utf-8"?>
<worksheet xmlns="http://schemas.openxmlformats.org/spreadsheetml/2006/main">
  <sheetPr>
    <tabColor rgb="FFA6A6A6"/>
    <outlinePr summaryBelow="1" summaryRight="1"/>
    <pageSetUpPr fitToPage="1"/>
  </sheetPr>
  <dimension ref="A1:N33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14" sqref="E14"/>
    </sheetView>
  </sheetViews>
  <sheetFormatPr baseColWidth="10" defaultColWidth="8.6640625" defaultRowHeight="15"/>
  <cols>
    <col width="13" customWidth="1" style="80" min="1" max="1"/>
    <col width="22" customWidth="1" style="80" min="2" max="2"/>
    <col width="14" customWidth="1" style="80" min="3" max="3"/>
    <col width="10" customWidth="1" style="80" min="4" max="4"/>
    <col width="46" customWidth="1" style="80" min="5" max="5"/>
    <col width="30" customWidth="1" style="80" min="6" max="6"/>
    <col width="46" customWidth="1" style="80" min="7" max="7"/>
    <col width="26" customWidth="1" style="80" min="8" max="8"/>
    <col width="48" customWidth="1" style="80" min="9" max="9"/>
    <col width="12" customWidth="1" style="80" min="10" max="10"/>
    <col width="13" customWidth="1" style="80" min="11" max="11"/>
    <col width="12" customWidth="1" style="80" min="12" max="12"/>
    <col width="13" customWidth="1" style="80" min="13" max="13"/>
    <col width="30" customWidth="1" style="80" min="14" max="14"/>
    <col width="8.6640625" customWidth="1" style="80" min="15" max="16384"/>
  </cols>
  <sheetData>
    <row r="1" ht="30" customHeight="1">
      <c r="A1" s="5" t="inlineStr">
        <is>
          <t>&lt;MODULE&gt; — Test Cases (Vietnamese reference)</t>
        </is>
      </c>
      <c r="B1" s="94" t="n"/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4" t="n"/>
      <c r="N1" s="94" t="n"/>
    </row>
    <row r="2" ht="15" customHeight="1">
      <c r="A2" s="9" t="inlineStr">
        <is>
          <t>REFERENCE ONLY — mọi số liệu ở sheet Summary được tính từ sheet "Test Cases" (EN).   ·   Source: &lt;SOURCE&gt;   ·   Version &lt;VER&gt;   ·   &lt;DATE&gt;</t>
        </is>
      </c>
      <c r="B2" s="94" t="n"/>
      <c r="C2" s="94" t="n"/>
      <c r="D2" s="94" t="n"/>
      <c r="E2" s="94" t="n"/>
      <c r="F2" s="94" t="n"/>
      <c r="G2" s="94" t="n"/>
      <c r="H2" s="94" t="n"/>
      <c r="I2" s="94" t="n"/>
      <c r="J2" s="94" t="n"/>
      <c r="K2" s="94" t="n"/>
      <c r="L2" s="94" t="n"/>
      <c r="M2" s="94" t="n"/>
      <c r="N2" s="94" t="n"/>
    </row>
    <row r="4" ht="18" customHeight="1">
      <c r="A4" s="14" t="inlineStr">
        <is>
          <t>ID</t>
        </is>
      </c>
      <c r="B4" s="14" t="inlineStr">
        <is>
          <t>Section</t>
        </is>
      </c>
      <c r="C4" s="14" t="inlineStr">
        <is>
          <t>Type</t>
        </is>
      </c>
      <c r="D4" s="14" t="inlineStr">
        <is>
          <t>Priority</t>
        </is>
      </c>
      <c r="E4" s="14" t="inlineStr">
        <is>
          <t>Test Case Title</t>
        </is>
      </c>
      <c r="F4" s="14" t="inlineStr">
        <is>
          <t>Precondition</t>
        </is>
      </c>
      <c r="G4" s="14" t="inlineStr">
        <is>
          <t>Test Steps</t>
        </is>
      </c>
      <c r="H4" s="14" t="inlineStr">
        <is>
          <t>Test Data</t>
        </is>
      </c>
      <c r="I4" s="14" t="inlineStr">
        <is>
          <t>Expected Result</t>
        </is>
      </c>
      <c r="J4" s="3" t="inlineStr">
        <is>
          <t>Round 1</t>
        </is>
      </c>
      <c r="K4" s="96" t="n"/>
      <c r="L4" s="3" t="inlineStr">
        <is>
          <t>Round 2</t>
        </is>
      </c>
      <c r="M4" s="96" t="n"/>
      <c r="N4" s="14" t="inlineStr">
        <is>
          <t>Note / Ref</t>
        </is>
      </c>
    </row>
    <row r="5" ht="30" customHeight="1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14" t="inlineStr">
        <is>
          <t>Result</t>
        </is>
      </c>
      <c r="K5" s="14" t="inlineStr">
        <is>
          <t>Bug ID</t>
        </is>
      </c>
      <c r="L5" s="14" t="inlineStr">
        <is>
          <t>Result</t>
        </is>
      </c>
      <c r="M5" s="14" t="inlineStr">
        <is>
          <t>Bug ID</t>
        </is>
      </c>
      <c r="N5" s="97" t="n"/>
    </row>
    <row r="6">
      <c r="A6" s="101" t="n"/>
      <c r="B6" s="100" t="n"/>
      <c r="C6" s="100" t="n"/>
      <c r="D6" s="100" t="n"/>
      <c r="E6" s="100" t="n"/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</row>
    <row r="7">
      <c r="A7" s="102" t="n"/>
      <c r="B7" s="103" t="n"/>
      <c r="C7" s="102" t="n"/>
      <c r="D7" s="102" t="n"/>
      <c r="E7" s="103" t="n"/>
      <c r="F7" s="103" t="n"/>
      <c r="G7" s="103" t="n"/>
      <c r="H7" s="103" t="n"/>
      <c r="I7" s="103" t="n"/>
      <c r="J7" s="102" t="n"/>
      <c r="K7" s="102" t="n"/>
      <c r="L7" s="102" t="n"/>
      <c r="M7" s="102" t="n"/>
      <c r="N7" s="103" t="n"/>
    </row>
    <row r="8">
      <c r="A8" s="102" t="n"/>
      <c r="B8" s="103" t="n"/>
      <c r="C8" s="102" t="n"/>
      <c r="D8" s="102" t="n"/>
      <c r="E8" s="103" t="n"/>
      <c r="F8" s="103" t="n"/>
      <c r="G8" s="103" t="n"/>
      <c r="H8" s="103" t="n"/>
      <c r="I8" s="103" t="n"/>
      <c r="J8" s="102" t="n"/>
      <c r="K8" s="102" t="n"/>
      <c r="L8" s="102" t="n"/>
      <c r="M8" s="102" t="n"/>
      <c r="N8" s="103" t="n"/>
    </row>
    <row r="9">
      <c r="A9" s="102" t="n"/>
      <c r="B9" s="103" t="n"/>
      <c r="C9" s="102" t="n"/>
      <c r="D9" s="102" t="n"/>
      <c r="E9" s="103" t="n"/>
      <c r="F9" s="103" t="n"/>
      <c r="G9" s="103" t="n"/>
      <c r="H9" s="103" t="n"/>
      <c r="I9" s="103" t="n"/>
      <c r="J9" s="102" t="n"/>
      <c r="K9" s="102" t="n"/>
      <c r="L9" s="102" t="n"/>
      <c r="M9" s="102" t="n"/>
      <c r="N9" s="103" t="n"/>
    </row>
    <row r="10">
      <c r="A10" s="102" t="n"/>
      <c r="B10" s="103" t="n"/>
      <c r="C10" s="102" t="n"/>
      <c r="D10" s="102" t="n"/>
      <c r="E10" s="103" t="n"/>
      <c r="F10" s="103" t="n"/>
      <c r="G10" s="103" t="n"/>
      <c r="H10" s="103" t="n"/>
      <c r="I10" s="103" t="n"/>
      <c r="J10" s="102" t="n"/>
      <c r="K10" s="102" t="n"/>
      <c r="L10" s="102" t="n"/>
      <c r="M10" s="102" t="n"/>
      <c r="N10" s="103" t="n"/>
    </row>
    <row r="11">
      <c r="A11" s="101" t="n"/>
      <c r="B11" s="100" t="n"/>
      <c r="C11" s="100" t="n"/>
      <c r="D11" s="100" t="n"/>
      <c r="E11" s="100" t="n"/>
      <c r="F11" s="100" t="n"/>
      <c r="G11" s="100" t="n"/>
      <c r="H11" s="100" t="n"/>
      <c r="I11" s="100" t="n"/>
      <c r="J11" s="100" t="n"/>
      <c r="K11" s="100" t="n"/>
      <c r="L11" s="100" t="n"/>
      <c r="M11" s="100" t="n"/>
      <c r="N11" s="100" t="n"/>
    </row>
    <row r="12">
      <c r="A12" s="102" t="n"/>
      <c r="B12" s="103" t="n"/>
      <c r="C12" s="102" t="n"/>
      <c r="D12" s="102" t="n"/>
      <c r="E12" s="103" t="n"/>
      <c r="F12" s="103" t="n"/>
      <c r="G12" s="103" t="n"/>
      <c r="H12" s="103" t="n"/>
      <c r="I12" s="103" t="n"/>
      <c r="J12" s="102" t="n"/>
      <c r="K12" s="102" t="n"/>
      <c r="L12" s="102" t="n"/>
      <c r="M12" s="102" t="n"/>
      <c r="N12" s="103" t="n"/>
    </row>
    <row r="13">
      <c r="A13" s="102" t="n"/>
      <c r="B13" s="103" t="n"/>
      <c r="C13" s="102" t="n"/>
      <c r="D13" s="102" t="n"/>
      <c r="E13" s="103" t="n"/>
      <c r="F13" s="103" t="n"/>
      <c r="G13" s="103" t="n"/>
      <c r="H13" s="103" t="n"/>
      <c r="I13" s="103" t="n"/>
      <c r="J13" s="102" t="n"/>
      <c r="K13" s="102" t="n"/>
      <c r="L13" s="102" t="n"/>
      <c r="M13" s="102" t="n"/>
      <c r="N13" s="103" t="n"/>
    </row>
    <row r="14">
      <c r="A14" s="102" t="n"/>
      <c r="B14" s="103" t="n"/>
      <c r="C14" s="102" t="n"/>
      <c r="D14" s="102" t="n"/>
      <c r="E14" s="103" t="n"/>
      <c r="F14" s="103" t="n"/>
      <c r="G14" s="103" t="n"/>
      <c r="H14" s="103" t="n"/>
      <c r="I14" s="103" t="n"/>
      <c r="J14" s="102" t="n"/>
      <c r="K14" s="102" t="n"/>
      <c r="L14" s="102" t="n"/>
      <c r="M14" s="102" t="n"/>
      <c r="N14" s="103" t="n"/>
    </row>
    <row r="15">
      <c r="A15" s="102" t="n"/>
      <c r="B15" s="103" t="n"/>
      <c r="C15" s="102" t="n"/>
      <c r="D15" s="102" t="n"/>
      <c r="E15" s="103" t="n"/>
      <c r="F15" s="103" t="n"/>
      <c r="G15" s="103" t="n"/>
      <c r="H15" s="103" t="n"/>
      <c r="I15" s="103" t="n"/>
      <c r="J15" s="102" t="n"/>
      <c r="K15" s="102" t="n"/>
      <c r="L15" s="102" t="n"/>
      <c r="M15" s="102" t="n"/>
      <c r="N15" s="103" t="n"/>
    </row>
    <row r="16">
      <c r="A16" s="102" t="n"/>
      <c r="B16" s="103" t="n"/>
      <c r="C16" s="102" t="n"/>
      <c r="D16" s="102" t="n"/>
      <c r="E16" s="103" t="n"/>
      <c r="F16" s="103" t="n"/>
      <c r="G16" s="103" t="n"/>
      <c r="H16" s="103" t="n"/>
      <c r="I16" s="103" t="n"/>
      <c r="J16" s="102" t="n"/>
      <c r="K16" s="102" t="n"/>
      <c r="L16" s="102" t="n"/>
      <c r="M16" s="102" t="n"/>
      <c r="N16" s="103" t="n"/>
    </row>
    <row r="17">
      <c r="A17" s="102" t="n"/>
      <c r="B17" s="103" t="n"/>
      <c r="C17" s="102" t="n"/>
      <c r="D17" s="102" t="n"/>
      <c r="E17" s="103" t="n"/>
      <c r="F17" s="103" t="n"/>
      <c r="G17" s="103" t="n"/>
      <c r="H17" s="103" t="n"/>
      <c r="I17" s="103" t="n"/>
      <c r="J17" s="102" t="n"/>
      <c r="K17" s="102" t="n"/>
      <c r="L17" s="102" t="n"/>
      <c r="M17" s="102" t="n"/>
      <c r="N17" s="103" t="n"/>
    </row>
    <row r="18">
      <c r="A18" s="102" t="n"/>
      <c r="B18" s="103" t="n"/>
      <c r="C18" s="102" t="n"/>
      <c r="D18" s="102" t="n"/>
      <c r="E18" s="103" t="n"/>
      <c r="F18" s="103" t="n"/>
      <c r="G18" s="103" t="n"/>
      <c r="H18" s="103" t="n"/>
      <c r="I18" s="103" t="n"/>
      <c r="J18" s="102" t="n"/>
      <c r="K18" s="102" t="n"/>
      <c r="L18" s="102" t="n"/>
      <c r="M18" s="102" t="n"/>
      <c r="N18" s="103" t="n"/>
    </row>
    <row r="19">
      <c r="A19" s="102" t="n"/>
      <c r="B19" s="103" t="n"/>
      <c r="C19" s="102" t="n"/>
      <c r="D19" s="102" t="n"/>
      <c r="E19" s="103" t="n"/>
      <c r="F19" s="103" t="n"/>
      <c r="G19" s="103" t="n"/>
      <c r="H19" s="103" t="n"/>
      <c r="I19" s="103" t="n"/>
      <c r="J19" s="102" t="n"/>
      <c r="K19" s="102" t="n"/>
      <c r="L19" s="102" t="n"/>
      <c r="M19" s="102" t="n"/>
      <c r="N19" s="103" t="n"/>
    </row>
    <row r="20">
      <c r="A20" s="102" t="n"/>
      <c r="B20" s="103" t="n"/>
      <c r="C20" s="102" t="n"/>
      <c r="D20" s="102" t="n"/>
      <c r="E20" s="103" t="n"/>
      <c r="F20" s="103" t="n"/>
      <c r="G20" s="103" t="n"/>
      <c r="H20" s="103" t="n"/>
      <c r="I20" s="103" t="n"/>
      <c r="J20" s="102" t="n"/>
      <c r="K20" s="102" t="n"/>
      <c r="L20" s="102" t="n"/>
      <c r="M20" s="102" t="n"/>
      <c r="N20" s="103" t="n"/>
    </row>
    <row r="21">
      <c r="A21" s="102" t="n"/>
      <c r="B21" s="103" t="n"/>
      <c r="C21" s="102" t="n"/>
      <c r="D21" s="102" t="n"/>
      <c r="E21" s="103" t="n"/>
      <c r="F21" s="103" t="n"/>
      <c r="G21" s="103" t="n"/>
      <c r="H21" s="103" t="n"/>
      <c r="I21" s="103" t="n"/>
      <c r="J21" s="102" t="n"/>
      <c r="K21" s="102" t="n"/>
      <c r="L21" s="102" t="n"/>
      <c r="M21" s="102" t="n"/>
      <c r="N21" s="103" t="n"/>
    </row>
    <row r="22">
      <c r="A22" s="101" t="n"/>
      <c r="B22" s="100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</row>
    <row r="23">
      <c r="A23" s="102" t="n"/>
      <c r="B23" s="103" t="n"/>
      <c r="C23" s="102" t="n"/>
      <c r="D23" s="102" t="n"/>
      <c r="E23" s="103" t="n"/>
      <c r="F23" s="103" t="n"/>
      <c r="G23" s="103" t="n"/>
      <c r="H23" s="103" t="n"/>
      <c r="I23" s="103" t="n"/>
      <c r="J23" s="102" t="n"/>
      <c r="K23" s="102" t="n"/>
      <c r="L23" s="102" t="n"/>
      <c r="M23" s="102" t="n"/>
      <c r="N23" s="103" t="n"/>
    </row>
    <row r="24">
      <c r="A24" s="102" t="n"/>
      <c r="B24" s="103" t="n"/>
      <c r="C24" s="102" t="n"/>
      <c r="D24" s="102" t="n"/>
      <c r="E24" s="103" t="n"/>
      <c r="F24" s="103" t="n"/>
      <c r="G24" s="103" t="n"/>
      <c r="H24" s="103" t="n"/>
      <c r="I24" s="103" t="n"/>
      <c r="J24" s="102" t="n"/>
      <c r="K24" s="102" t="n"/>
      <c r="L24" s="102" t="n"/>
      <c r="M24" s="102" t="n"/>
      <c r="N24" s="103" t="n"/>
    </row>
    <row r="25">
      <c r="A25" s="102" t="n"/>
      <c r="B25" s="103" t="n"/>
      <c r="C25" s="102" t="n"/>
      <c r="D25" s="102" t="n"/>
      <c r="E25" s="103" t="n"/>
      <c r="F25" s="103" t="n"/>
      <c r="G25" s="103" t="n"/>
      <c r="H25" s="103" t="n"/>
      <c r="I25" s="103" t="n"/>
      <c r="J25" s="102" t="n"/>
      <c r="K25" s="102" t="n"/>
      <c r="L25" s="102" t="n"/>
      <c r="M25" s="102" t="n"/>
      <c r="N25" s="103" t="n"/>
    </row>
    <row r="26">
      <c r="A26" s="102" t="n"/>
      <c r="B26" s="103" t="n"/>
      <c r="C26" s="102" t="n"/>
      <c r="D26" s="102" t="n"/>
      <c r="E26" s="103" t="n"/>
      <c r="F26" s="103" t="n"/>
      <c r="G26" s="103" t="n"/>
      <c r="H26" s="103" t="n"/>
      <c r="I26" s="103" t="n"/>
      <c r="J26" s="102" t="n"/>
      <c r="K26" s="102" t="n"/>
      <c r="L26" s="102" t="n"/>
      <c r="M26" s="102" t="n"/>
      <c r="N26" s="103" t="n"/>
    </row>
    <row r="27">
      <c r="A27" s="101" t="n"/>
      <c r="B27" s="100" t="n"/>
      <c r="C27" s="100" t="n"/>
      <c r="D27" s="100" t="n"/>
      <c r="E27" s="100" t="n"/>
      <c r="F27" s="100" t="n"/>
      <c r="G27" s="100" t="n"/>
      <c r="H27" s="100" t="n"/>
      <c r="I27" s="100" t="n"/>
      <c r="J27" s="100" t="n"/>
      <c r="K27" s="100" t="n"/>
      <c r="L27" s="100" t="n"/>
      <c r="M27" s="100" t="n"/>
      <c r="N27" s="100" t="n"/>
    </row>
    <row r="28">
      <c r="A28" s="102" t="n"/>
      <c r="B28" s="103" t="n"/>
      <c r="C28" s="102" t="n"/>
      <c r="D28" s="102" t="n"/>
      <c r="E28" s="103" t="n"/>
      <c r="F28" s="103" t="n"/>
      <c r="G28" s="103" t="n"/>
      <c r="H28" s="103" t="n"/>
      <c r="I28" s="103" t="n"/>
      <c r="J28" s="102" t="n"/>
      <c r="K28" s="102" t="n"/>
      <c r="L28" s="102" t="n"/>
      <c r="M28" s="102" t="n"/>
      <c r="N28" s="103" t="n"/>
    </row>
    <row r="29">
      <c r="A29" s="102" t="n"/>
      <c r="B29" s="103" t="n"/>
      <c r="C29" s="102" t="n"/>
      <c r="D29" s="102" t="n"/>
      <c r="E29" s="103" t="n"/>
      <c r="F29" s="103" t="n"/>
      <c r="G29" s="103" t="n"/>
      <c r="H29" s="103" t="n"/>
      <c r="I29" s="103" t="n"/>
      <c r="J29" s="102" t="n"/>
      <c r="K29" s="102" t="n"/>
      <c r="L29" s="102" t="n"/>
      <c r="M29" s="102" t="n"/>
      <c r="N29" s="103" t="n"/>
    </row>
    <row r="30">
      <c r="A30" s="102" t="n"/>
      <c r="B30" s="103" t="n"/>
      <c r="C30" s="102" t="n"/>
      <c r="D30" s="102" t="n"/>
      <c r="E30" s="103" t="n"/>
      <c r="F30" s="103" t="n"/>
      <c r="G30" s="103" t="n"/>
      <c r="H30" s="103" t="n"/>
      <c r="I30" s="103" t="n"/>
      <c r="J30" s="102" t="n"/>
      <c r="K30" s="102" t="n"/>
      <c r="L30" s="102" t="n"/>
      <c r="M30" s="102" t="n"/>
      <c r="N30" s="103" t="n"/>
    </row>
    <row r="31">
      <c r="A31" s="102" t="n"/>
      <c r="B31" s="103" t="n"/>
      <c r="C31" s="102" t="n"/>
      <c r="D31" s="102" t="n"/>
      <c r="E31" s="103" t="n"/>
      <c r="F31" s="103" t="n"/>
      <c r="G31" s="103" t="n"/>
      <c r="H31" s="103" t="n"/>
      <c r="I31" s="103" t="n"/>
      <c r="J31" s="102" t="n"/>
      <c r="K31" s="102" t="n"/>
      <c r="L31" s="102" t="n"/>
      <c r="M31" s="102" t="n"/>
      <c r="N31" s="103" t="n"/>
    </row>
    <row r="32">
      <c r="A32" s="102" t="n"/>
      <c r="B32" s="103" t="n"/>
      <c r="C32" s="102" t="n"/>
      <c r="D32" s="102" t="n"/>
      <c r="E32" s="103" t="n"/>
      <c r="F32" s="103" t="n"/>
      <c r="G32" s="103" t="n"/>
      <c r="H32" s="103" t="n"/>
      <c r="I32" s="103" t="n"/>
      <c r="J32" s="102" t="n"/>
      <c r="K32" s="102" t="n"/>
      <c r="L32" s="102" t="n"/>
      <c r="M32" s="102" t="n"/>
      <c r="N32" s="103" t="n"/>
    </row>
    <row r="33">
      <c r="A33" s="102" t="n"/>
      <c r="B33" s="103" t="n"/>
      <c r="C33" s="102" t="n"/>
      <c r="D33" s="102" t="n"/>
      <c r="E33" s="103" t="n"/>
      <c r="F33" s="103" t="n"/>
      <c r="G33" s="103" t="n"/>
      <c r="H33" s="103" t="n"/>
      <c r="I33" s="103" t="n"/>
      <c r="J33" s="102" t="n"/>
      <c r="K33" s="102" t="n"/>
      <c r="L33" s="102" t="n"/>
      <c r="M33" s="102" t="n"/>
      <c r="N33" s="103" t="n"/>
    </row>
  </sheetData>
  <autoFilter ref="A5:N33"/>
  <mergeCells count="14">
    <mergeCell ref="J4:K4"/>
    <mergeCell ref="B4:B5"/>
    <mergeCell ref="L4:M4"/>
    <mergeCell ref="C4:C5"/>
    <mergeCell ref="A4:A5"/>
    <mergeCell ref="F4:F5"/>
    <mergeCell ref="D4:D5"/>
    <mergeCell ref="A2:N2"/>
    <mergeCell ref="E4:E5"/>
    <mergeCell ref="G4:G5"/>
    <mergeCell ref="H4:H5"/>
    <mergeCell ref="I4:I5"/>
    <mergeCell ref="N4:N5"/>
    <mergeCell ref="A1:N1"/>
  </mergeCells>
  <conditionalFormatting sqref="J6:J306">
    <cfRule type="cellIs" priority="2" operator="equal" dxfId="0">
      <formula>"Pass"</formula>
    </cfRule>
    <cfRule type="cellIs" priority="3" operator="equal" dxfId="1">
      <formula>"Fail"</formula>
    </cfRule>
    <cfRule type="cellIs" priority="4" operator="equal" dxfId="5">
      <formula>"Blocked"</formula>
    </cfRule>
    <cfRule type="cellIs" priority="5" operator="equal" dxfId="4">
      <formula>"Impact"</formula>
    </cfRule>
    <cfRule type="cellIs" priority="6" operator="equal" dxfId="3">
      <formula>"Not Run"</formula>
    </cfRule>
  </conditionalFormatting>
  <conditionalFormatting sqref="L6:L306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5">
      <formula>"Blocked"</formula>
    </cfRule>
    <cfRule type="cellIs" priority="10" operator="equal" dxfId="4">
      <formula>"Impact"</formula>
    </cfRule>
    <cfRule type="cellIs" priority="11" operator="equal" dxfId="3">
      <formula>"Not Run"</formula>
    </cfRule>
  </conditionalFormatting>
  <dataValidations count="3">
    <dataValidation sqref="C6:C306" showDropDown="0" showInputMessage="0" showErrorMessage="0" allowBlank="1" promptTitle="Select a value" prompt="Pick one of: UI, Validation, Boundary, Negative, Functional, Business rule, API" type="list">
      <formula1>"UI,Validation,Boundary,Negative,Functional,Business rule,API"</formula1>
      <formula2>0</formula2>
    </dataValidation>
    <dataValidation sqref="D6:D306" showDropDown="0" showInputMessage="0" showErrorMessage="0" allowBlank="1" promptTitle="Select a value" prompt="Pick one of: High, Medium, Low" type="list">
      <formula1>"High,Medium,Low"</formula1>
      <formula2>0</formula2>
    </dataValidation>
    <dataValidation sqref="J6:J306 L6:L306" showDropDown="0" showInputMessage="0" showErrorMessage="0" allowBlank="1" promptTitle="Select a value" prompt="Pick one of: Pass, Fail, Blocked, Impact, Not Run" type="list">
      <formula1>"Pass,Fail,Blocked,Impact,Not Run"</formula1>
      <formula2>0</formula2>
    </dataValidation>
  </dataValidations>
  <pageMargins left="0.75" right="0.75" top="1" bottom="1" header="0.511811023622047" footer="0.511811023622047"/>
  <pageSetup orientation="landscape" fitToHeight="0" horizontalDpi="300" verticalDpi="300"/>
</worksheet>
</file>

<file path=xl/worksheets/sheet5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E90"/>
  <sheetViews>
    <sheetView showGridLines="0" zoomScaleNormal="100" workbookViewId="0">
      <pane ySplit="3" topLeftCell="A4" activePane="bottomLeft" state="frozen"/>
      <selection pane="bottomLeft" activeCell="B10" sqref="B10"/>
    </sheetView>
  </sheetViews>
  <sheetFormatPr baseColWidth="10" defaultColWidth="8.6640625" defaultRowHeight="15"/>
  <cols>
    <col width="6" customWidth="1" min="1" max="1"/>
    <col width="46" customWidth="1" min="2" max="2"/>
    <col width="40" customWidth="1" min="3" max="3"/>
    <col width="62" customWidth="1" min="4" max="4"/>
    <col width="14" customWidth="1" min="5" max="5"/>
  </cols>
  <sheetData>
    <row r="1" ht="27.75" customHeight="1">
      <c r="A1" s="1" t="inlineStr">
        <is>
          <t>COMMON VALIDATE — reusable checklist for every screen</t>
        </is>
      </c>
      <c r="B1" s="94" t="n"/>
      <c r="C1" s="94" t="n"/>
      <c r="D1" s="94" t="n"/>
      <c r="E1" s="94" t="n"/>
    </row>
    <row r="2" ht="23.75" customHeight="1">
      <c r="A2" s="9" t="inlineStr">
        <is>
          <t>Use this sheet as the source. For each field on the screen, open the matching group, mark "Applicable?", then turn each applicable line into a concrete test case on the "Test Cases" sheet using the real field name, real data and the real message.</t>
        </is>
      </c>
      <c r="B2" s="94" t="n"/>
      <c r="C2" s="94" t="n"/>
      <c r="D2" s="94" t="n"/>
      <c r="E2" s="94" t="n"/>
    </row>
    <row r="3" ht="27.75" customHeight="1">
      <c r="A3" s="14" t="inlineStr">
        <is>
          <t>#</t>
        </is>
      </c>
      <c r="B3" s="14" t="inlineStr">
        <is>
          <t>Check Item</t>
        </is>
      </c>
      <c r="C3" s="14" t="inlineStr">
        <is>
          <t>Suggested Test Data</t>
        </is>
      </c>
      <c r="D3" s="14" t="inlineStr">
        <is>
          <t>Expected Output</t>
        </is>
      </c>
      <c r="E3" s="14" t="inlineStr">
        <is>
          <t>Applicable?</t>
        </is>
      </c>
    </row>
    <row r="4" ht="19.5" customHeight="1">
      <c r="A4" s="2" t="inlineStr">
        <is>
          <t>Text field (maxlength 255)</t>
        </is>
      </c>
      <c r="B4" s="98" t="n"/>
      <c r="C4" s="98" t="n"/>
      <c r="D4" s="98" t="n"/>
      <c r="E4" s="99" t="n"/>
    </row>
    <row r="5" ht="28" customHeight="1">
      <c r="A5" s="15" t="n">
        <v>1</v>
      </c>
      <c r="B5" s="16" t="inlineStr">
        <is>
          <t>Default state</t>
        </is>
      </c>
      <c r="C5" s="16" t="n"/>
      <c r="D5" s="16" t="inlineStr">
        <is>
          <t>Correct label, placeholder, default value, required marker (*), enabled/disabled state.</t>
        </is>
      </c>
      <c r="E5" s="15" t="n"/>
    </row>
    <row r="6" ht="28" customHeight="1">
      <c r="A6" s="33" t="n">
        <v>2</v>
      </c>
      <c r="B6" s="34" t="inlineStr">
        <is>
          <t>Valid input</t>
        </is>
      </c>
      <c r="C6" s="34" t="inlineStr">
        <is>
          <t>A valid string per the requirement</t>
        </is>
      </c>
      <c r="D6" s="34" t="inlineStr">
        <is>
          <t>Saved successfully; the value is shown correctly on both the list and the detail screen.</t>
        </is>
      </c>
      <c r="E6" s="15" t="n"/>
    </row>
    <row r="7" ht="28" customHeight="1">
      <c r="A7" s="15" t="n">
        <v>3</v>
      </c>
      <c r="B7" s="16" t="inlineStr">
        <is>
          <t>Empty / spaces only</t>
        </is>
      </c>
      <c r="C7" s="16" t="inlineStr">
        <is>
          <t>"   " (spaces)</t>
        </is>
      </c>
      <c r="D7" s="16" t="inlineStr">
        <is>
          <t>Required-field error is displayed, focus moves to the field, the API is not called.</t>
        </is>
      </c>
      <c r="E7" s="15" t="n"/>
    </row>
    <row r="8">
      <c r="A8" s="33" t="n">
        <v>4</v>
      </c>
      <c r="B8" s="34" t="inlineStr">
        <is>
          <t>Below maxlength</t>
        </is>
      </c>
      <c r="C8" s="34" t="inlineStr">
        <is>
          <t>254 characters</t>
        </is>
      </c>
      <c r="D8" s="34" t="inlineStr">
        <is>
          <t>Accepted and saved successfully.</t>
        </is>
      </c>
      <c r="E8" s="15" t="n"/>
    </row>
    <row r="9">
      <c r="A9" s="15" t="n">
        <v>5</v>
      </c>
      <c r="B9" s="16" t="inlineStr">
        <is>
          <t>Exactly maxlength</t>
        </is>
      </c>
      <c r="C9" s="16" t="inlineStr">
        <is>
          <t>255 characters</t>
        </is>
      </c>
      <c r="D9" s="16" t="inlineStr">
        <is>
          <t>Accepted and saved successfully.</t>
        </is>
      </c>
      <c r="E9" s="15" t="n"/>
    </row>
    <row r="10">
      <c r="A10" s="33" t="n">
        <v>6</v>
      </c>
      <c r="B10" s="34" t="inlineStr">
        <is>
          <t>Over maxlength</t>
        </is>
      </c>
      <c r="C10" s="34" t="inlineStr">
        <is>
          <t>256 characters</t>
        </is>
      </c>
      <c r="D10" s="34" t="inlineStr">
        <is>
          <t>Input is capped at the limit, or a maximum-length error is displayed.</t>
        </is>
      </c>
      <c r="E10" s="15" t="n"/>
    </row>
    <row r="11" ht="28" customHeight="1">
      <c r="A11" s="15" t="n">
        <v>7</v>
      </c>
      <c r="B11" s="16" t="inlineStr">
        <is>
          <t>Leading and trailing spaces</t>
        </is>
      </c>
      <c r="C11" s="16" t="inlineStr">
        <is>
          <t>"  abc  "</t>
        </is>
      </c>
      <c r="D11" s="16" t="inlineStr">
        <is>
          <t>Spaces are trimmed on save per the requirement and are not counted towards maxlength.</t>
        </is>
      </c>
      <c r="E11" s="15" t="n"/>
    </row>
    <row r="12">
      <c r="A12" s="33" t="n">
        <v>8</v>
      </c>
      <c r="B12" s="34" t="inlineStr">
        <is>
          <t>Special characters</t>
        </is>
      </c>
      <c r="C12" s="34" t="inlineStr">
        <is>
          <t>~`!#$%^&amp;*()_-+={}[]|\:;"'&lt;,&gt;?/.@</t>
        </is>
      </c>
      <c r="D12" s="34" t="inlineStr">
        <is>
          <t>No system error; the value is displayed back exactly as entered.</t>
        </is>
      </c>
      <c r="E12" s="15" t="n"/>
    </row>
    <row r="13">
      <c r="A13" s="15" t="n">
        <v>9</v>
      </c>
      <c r="B13" s="16" t="inlineStr">
        <is>
          <t>HTML and script tags</t>
        </is>
      </c>
      <c r="C13" s="16" t="inlineStr">
        <is>
          <t>&lt;b&gt;test&lt;/b&gt; · &lt;script&gt;alert(1)&lt;/script&gt;</t>
        </is>
      </c>
      <c r="D13" s="16" t="inlineStr">
        <is>
          <t>Escaped and rendered as plain text; the script is not executed.</t>
        </is>
      </c>
      <c r="E13" s="15" t="n"/>
    </row>
    <row r="14">
      <c r="A14" s="33" t="n">
        <v>10</v>
      </c>
      <c r="B14" s="34" t="inlineStr">
        <is>
          <t>Multi-byte characters and emoji</t>
        </is>
      </c>
      <c r="C14" s="34" t="inlineStr">
        <is>
          <t>Tiếng Việt · 日本語 · 😀</t>
        </is>
      </c>
      <c r="D14" s="34" t="inlineStr">
        <is>
          <t>Stored and displayed correctly, no missing or corrupted characters.</t>
        </is>
      </c>
      <c r="E14" s="15" t="n"/>
    </row>
    <row r="15">
      <c r="A15" s="15" t="n">
        <v>11</v>
      </c>
      <c r="B15" s="16" t="inlineStr">
        <is>
          <t>Paste content over the limit</t>
        </is>
      </c>
      <c r="C15" s="16" t="inlineStr">
        <is>
          <t>Paste 300 characters</t>
        </is>
      </c>
      <c r="D15" s="16" t="inlineStr">
        <is>
          <t>Only maxlength is accepted, or an error is shown; the UI does not freeze.</t>
        </is>
      </c>
      <c r="E15" s="15" t="n"/>
    </row>
    <row r="16">
      <c r="A16" s="33" t="n">
        <v>12</v>
      </c>
      <c r="B16" s="34" t="inlineStr">
        <is>
          <t>Line break characters</t>
        </is>
      </c>
      <c r="C16" s="34" t="inlineStr">
        <is>
          <t>Enter key · &lt;/br&gt;</t>
        </is>
      </c>
      <c r="D16" s="34" t="inlineStr">
        <is>
          <t>Per the requirement: either blocked, or stored and rendered correctly.</t>
        </is>
      </c>
      <c r="E16" s="15" t="n"/>
    </row>
    <row r="17" ht="19.5" customHeight="1">
      <c r="A17" s="2" t="inlineStr">
        <is>
          <t>Email</t>
        </is>
      </c>
      <c r="B17" s="98" t="n"/>
      <c r="C17" s="98" t="n"/>
      <c r="D17" s="98" t="n"/>
      <c r="E17" s="99" t="n"/>
    </row>
    <row r="18">
      <c r="A18" s="15" t="n">
        <v>13</v>
      </c>
      <c r="B18" s="16" t="inlineStr">
        <is>
          <t>Valid format</t>
        </is>
      </c>
      <c r="C18" s="16" t="inlineStr">
        <is>
          <t>abc@test.com · a.b+c@sub.test.co.jp</t>
        </is>
      </c>
      <c r="D18" s="16" t="inlineStr">
        <is>
          <t>Saved successfully.</t>
        </is>
      </c>
      <c r="E18" s="15" t="n"/>
    </row>
    <row r="19" ht="28" customHeight="1">
      <c r="A19" s="33" t="n">
        <v>14</v>
      </c>
      <c r="B19" s="34" t="inlineStr">
        <is>
          <t>Invalid format</t>
        </is>
      </c>
      <c r="C19" s="34" t="inlineStr">
        <is>
          <t>abc · abc@ · @test.com · abc@.com · abc @test.com</t>
        </is>
      </c>
      <c r="D19" s="34" t="inlineStr">
        <is>
          <t>Email format error is displayed, focus moves to the field.</t>
        </is>
      </c>
      <c r="E19" s="15" t="n"/>
    </row>
    <row r="20">
      <c r="A20" s="15" t="n">
        <v>15</v>
      </c>
      <c r="B20" s="16" t="inlineStr">
        <is>
          <t>Full-width / half-width characters</t>
        </is>
      </c>
      <c r="C20" s="35" t="inlineStr">
        <is>
          <t>ａｂｃ@gmail.com · ｱｲｳ@gmail.com</t>
        </is>
      </c>
      <c r="D20" s="16" t="inlineStr">
        <is>
          <t>Email format error is displayed.</t>
        </is>
      </c>
      <c r="E20" s="15" t="n"/>
    </row>
    <row r="21">
      <c r="A21" s="33" t="n">
        <v>16</v>
      </c>
      <c r="B21" s="34" t="inlineStr">
        <is>
          <t>Over maxlength</t>
        </is>
      </c>
      <c r="C21" s="34" t="inlineStr">
        <is>
          <t>More than 128 characters</t>
        </is>
      </c>
      <c r="D21" s="34" t="inlineStr">
        <is>
          <t>Input is capped at the limit, or an error is displayed.</t>
        </is>
      </c>
      <c r="E21" s="15" t="n"/>
    </row>
    <row r="22">
      <c r="A22" s="15" t="n">
        <v>17</v>
      </c>
      <c r="B22" s="16" t="inlineStr">
        <is>
          <t>Duplicate email</t>
        </is>
      </c>
      <c r="C22" s="16" t="inlineStr">
        <is>
          <t>An email already registered in the system</t>
        </is>
      </c>
      <c r="D22" s="16" t="inlineStr">
        <is>
          <t>Duplicate error is displayed; no new record is created.</t>
        </is>
      </c>
      <c r="E22" s="15" t="n"/>
    </row>
    <row r="23">
      <c r="A23" s="33" t="n">
        <v>18</v>
      </c>
      <c r="B23" s="34" t="inlineStr">
        <is>
          <t>Case sensitivity</t>
        </is>
      </c>
      <c r="C23" s="34" t="inlineStr">
        <is>
          <t>ABC@test.com vs abc@test.com</t>
        </is>
      </c>
      <c r="D23" s="34" t="inlineStr">
        <is>
          <t>Per the requirement; usually treated as the same address.</t>
        </is>
      </c>
      <c r="E23" s="15" t="n"/>
    </row>
    <row r="24" ht="19.5" customHeight="1">
      <c r="A24" s="2" t="inlineStr">
        <is>
          <t>Password</t>
        </is>
      </c>
      <c r="B24" s="98" t="n"/>
      <c r="C24" s="98" t="n"/>
      <c r="D24" s="98" t="n"/>
      <c r="E24" s="99" t="n"/>
    </row>
    <row r="25">
      <c r="A25" s="15" t="n">
        <v>19</v>
      </c>
      <c r="B25" s="16" t="inlineStr">
        <is>
          <t>Meets the password policy</t>
        </is>
      </c>
      <c r="C25" s="16" t="inlineStr">
        <is>
          <t>Test@1234</t>
        </is>
      </c>
      <c r="D25" s="16" t="inlineStr">
        <is>
          <t>Saved successfully.</t>
        </is>
      </c>
      <c r="E25" s="15" t="n"/>
    </row>
    <row r="26">
      <c r="A26" s="33" t="n">
        <v>20</v>
      </c>
      <c r="B26" s="34" t="inlineStr">
        <is>
          <t>Missing a required character class</t>
        </is>
      </c>
      <c r="C26" s="34" t="inlineStr">
        <is>
          <t>test1234 (no uppercase, no symbol)</t>
        </is>
      </c>
      <c r="D26" s="34" t="inlineStr">
        <is>
          <t>Error message states the password requirements.</t>
        </is>
      </c>
      <c r="E26" s="15" t="n"/>
    </row>
    <row r="27">
      <c r="A27" s="15" t="n">
        <v>21</v>
      </c>
      <c r="B27" s="16" t="inlineStr">
        <is>
          <t>Below / equal / above the minimum length</t>
        </is>
      </c>
      <c r="C27" s="16" t="inlineStr">
        <is>
          <t>7 · 8 · 9 characters</t>
        </is>
      </c>
      <c r="D27" s="16" t="inlineStr">
        <is>
          <t>7 fails; 8 and 9 are accepted.</t>
        </is>
      </c>
      <c r="E27" s="15" t="n"/>
    </row>
    <row r="28">
      <c r="A28" s="33" t="n">
        <v>22</v>
      </c>
      <c r="B28" s="34" t="inlineStr">
        <is>
          <t>Toggle password visibility</t>
        </is>
      </c>
      <c r="C28" s="34" t="n"/>
      <c r="D28" s="34" t="inlineStr">
        <is>
          <t>The eye icon reveals and re-masks the value correctly.</t>
        </is>
      </c>
      <c r="E28" s="15" t="n"/>
    </row>
    <row r="29">
      <c r="A29" s="15" t="n">
        <v>23</v>
      </c>
      <c r="B29" s="16" t="inlineStr">
        <is>
          <t>Confirm password mismatch</t>
        </is>
      </c>
      <c r="C29" s="16" t="inlineStr">
        <is>
          <t>Test@1234 vs Test@12345</t>
        </is>
      </c>
      <c r="D29" s="16" t="inlineStr">
        <is>
          <t>Mismatch error is displayed.</t>
        </is>
      </c>
      <c r="E29" s="15" t="n"/>
    </row>
    <row r="30">
      <c r="A30" s="33" t="n">
        <v>24</v>
      </c>
      <c r="B30" s="34" t="inlineStr">
        <is>
          <t>Paste blocked (if required)</t>
        </is>
      </c>
      <c r="C30" s="34" t="inlineStr">
        <is>
          <t>Ctrl+V</t>
        </is>
      </c>
      <c r="D30" s="34" t="inlineStr">
        <is>
          <t>Per the requirement.</t>
        </is>
      </c>
      <c r="E30" s="15" t="n"/>
    </row>
    <row r="31">
      <c r="A31" s="15" t="n">
        <v>25</v>
      </c>
      <c r="B31" s="16" t="inlineStr">
        <is>
          <t>Not logged or exposed in plain text</t>
        </is>
      </c>
      <c r="C31" s="16" t="n"/>
      <c r="D31" s="16" t="inlineStr">
        <is>
          <t>Not present in clear text in the network request or in application logs.</t>
        </is>
      </c>
      <c r="E31" s="15" t="n"/>
    </row>
    <row r="32" ht="19.5" customHeight="1">
      <c r="A32" s="2" t="inlineStr">
        <is>
          <t>Number / Amount</t>
        </is>
      </c>
      <c r="B32" s="98" t="n"/>
      <c r="C32" s="98" t="n"/>
      <c r="D32" s="98" t="n"/>
      <c r="E32" s="99" t="n"/>
    </row>
    <row r="33">
      <c r="A33" s="15" t="n">
        <v>26</v>
      </c>
      <c r="B33" s="16" t="inlineStr">
        <is>
          <t>Valid number</t>
        </is>
      </c>
      <c r="C33" s="16" t="inlineStr">
        <is>
          <t>100</t>
        </is>
      </c>
      <c r="D33" s="16" t="inlineStr">
        <is>
          <t>Saved successfully.</t>
        </is>
      </c>
      <c r="E33" s="15" t="n"/>
    </row>
    <row r="34">
      <c r="A34" s="33" t="n">
        <v>27</v>
      </c>
      <c r="B34" s="34" t="inlineStr">
        <is>
          <t>Letters in a numeric field</t>
        </is>
      </c>
      <c r="C34" s="34" t="inlineStr">
        <is>
          <t>abc</t>
        </is>
      </c>
      <c r="D34" s="34" t="inlineStr">
        <is>
          <t>Input is rejected, or an error is displayed.</t>
        </is>
      </c>
      <c r="E34" s="15" t="n"/>
    </row>
    <row r="35">
      <c r="A35" s="15" t="n">
        <v>28</v>
      </c>
      <c r="B35" s="16" t="inlineStr">
        <is>
          <t>Negative number</t>
        </is>
      </c>
      <c r="C35" s="16" t="inlineStr">
        <is>
          <t>-1</t>
        </is>
      </c>
      <c r="D35" s="16" t="inlineStr">
        <is>
          <t>Per the requirement: blocked or accepted.</t>
        </is>
      </c>
      <c r="E35" s="15" t="n"/>
    </row>
    <row r="36">
      <c r="A36" s="33" t="n">
        <v>29</v>
      </c>
      <c r="B36" s="34" t="inlineStr">
        <is>
          <t>Zero</t>
        </is>
      </c>
      <c r="C36" s="34" t="inlineStr">
        <is>
          <t>0</t>
        </is>
      </c>
      <c r="D36" s="34" t="inlineStr">
        <is>
          <t>Per the requirement.</t>
        </is>
      </c>
      <c r="E36" s="15" t="n"/>
    </row>
    <row r="37">
      <c r="A37" s="15" t="n">
        <v>30</v>
      </c>
      <c r="B37" s="16" t="inlineStr">
        <is>
          <t>Min and max boundaries ±1</t>
        </is>
      </c>
      <c r="C37" s="16" t="inlineStr">
        <is>
          <t>min-1 · min · max · max+1</t>
        </is>
      </c>
      <c r="D37" s="16" t="inlineStr">
        <is>
          <t>min-1 and max+1 fail; min and max are accepted.</t>
        </is>
      </c>
      <c r="E37" s="15" t="n"/>
    </row>
    <row r="38">
      <c r="A38" s="33" t="n">
        <v>31</v>
      </c>
      <c r="B38" s="34" t="inlineStr">
        <is>
          <t>Decimals and rounding</t>
        </is>
      </c>
      <c r="C38" s="34" t="inlineStr">
        <is>
          <t>1.005 · 1.994</t>
        </is>
      </c>
      <c r="D38" s="34" t="inlineStr">
        <is>
          <t>Rounded per the rule, with the correct number of decimal places.</t>
        </is>
      </c>
      <c r="E38" s="15" t="n"/>
    </row>
    <row r="39">
      <c r="A39" s="15" t="n">
        <v>32</v>
      </c>
      <c r="B39" s="16" t="inlineStr">
        <is>
          <t>Thousand separator</t>
        </is>
      </c>
      <c r="C39" s="16" t="inlineStr">
        <is>
          <t>1234567</t>
        </is>
      </c>
      <c r="D39" s="16" t="inlineStr">
        <is>
          <t>Displayed as 1,234,567 in the correct format.</t>
        </is>
      </c>
      <c r="E39" s="15" t="n"/>
    </row>
    <row r="40">
      <c r="A40" s="33" t="n">
        <v>33</v>
      </c>
      <c r="B40" s="34" t="inlineStr">
        <is>
          <t>Very large number</t>
        </is>
      </c>
      <c r="C40" s="34" t="inlineStr">
        <is>
          <t>99999999999999999999</t>
        </is>
      </c>
      <c r="D40" s="34" t="inlineStr">
        <is>
          <t>No overflow and no system error.</t>
        </is>
      </c>
      <c r="E40" s="15" t="n"/>
    </row>
    <row r="41" ht="19.5" customHeight="1">
      <c r="A41" s="2" t="inlineStr">
        <is>
          <t>Checkbox / Radio</t>
        </is>
      </c>
      <c r="B41" s="98" t="n"/>
      <c r="C41" s="98" t="n"/>
      <c r="D41" s="98" t="n"/>
      <c r="E41" s="99" t="n"/>
    </row>
    <row r="42">
      <c r="A42" s="15" t="n">
        <v>34</v>
      </c>
      <c r="B42" s="16" t="inlineStr">
        <is>
          <t>Default state</t>
        </is>
      </c>
      <c r="C42" s="16" t="n"/>
      <c r="D42" s="16" t="inlineStr">
        <is>
          <t>The initial selected/cleared state matches the design.</t>
        </is>
      </c>
      <c r="E42" s="15" t="n"/>
    </row>
    <row r="43">
      <c r="A43" s="33" t="n">
        <v>35</v>
      </c>
      <c r="B43" s="34" t="inlineStr">
        <is>
          <t>Select and deselect</t>
        </is>
      </c>
      <c r="C43" s="34" t="n"/>
      <c r="D43" s="34" t="inlineStr">
        <is>
          <t>A checkbox can be cleared; only one radio per group can be selected.</t>
        </is>
      </c>
      <c r="E43" s="15" t="n"/>
    </row>
    <row r="44">
      <c r="A44" s="15" t="n">
        <v>36</v>
      </c>
      <c r="B44" s="16" t="inlineStr">
        <is>
          <t>Select multiple checkboxes</t>
        </is>
      </c>
      <c r="C44" s="16" t="n"/>
      <c r="D44" s="16" t="inlineStr">
        <is>
          <t>The saved or filtered result matches the selected combination.</t>
        </is>
      </c>
      <c r="E44" s="15" t="n"/>
    </row>
    <row r="45">
      <c r="A45" s="33" t="n">
        <v>37</v>
      </c>
      <c r="B45" s="34" t="inlineStr">
        <is>
          <t>None selected when required</t>
        </is>
      </c>
      <c r="C45" s="34" t="n"/>
      <c r="D45" s="34" t="inlineStr">
        <is>
          <t>Required-selection error is displayed.</t>
        </is>
      </c>
      <c r="E45" s="15" t="n"/>
    </row>
    <row r="46">
      <c r="A46" s="15" t="n">
        <v>38</v>
      </c>
      <c r="B46" s="16" t="inlineStr">
        <is>
          <t>Disabled state</t>
        </is>
      </c>
      <c r="C46" s="16" t="n"/>
      <c r="D46" s="16" t="inlineStr">
        <is>
          <t>Cannot be interacted with and renders in the correct disabled style.</t>
        </is>
      </c>
      <c r="E46" s="15" t="n"/>
    </row>
    <row r="47" ht="19.5" customHeight="1">
      <c r="A47" s="2" t="inlineStr">
        <is>
          <t>Dropdown / Combobox</t>
        </is>
      </c>
      <c r="B47" s="98" t="n"/>
      <c r="C47" s="98" t="n"/>
      <c r="D47" s="98" t="n"/>
      <c r="E47" s="99" t="n"/>
    </row>
    <row r="48">
      <c r="A48" s="15" t="n">
        <v>39</v>
      </c>
      <c r="B48" s="16" t="inlineStr">
        <is>
          <t>Default value and placeholder</t>
        </is>
      </c>
      <c r="C48" s="16" t="n"/>
      <c r="D48" s="16" t="inlineStr">
        <is>
          <t>Matches the design.</t>
        </is>
      </c>
      <c r="E48" s="15" t="n"/>
    </row>
    <row r="49">
      <c r="A49" s="33" t="n">
        <v>40</v>
      </c>
      <c r="B49" s="34" t="inlineStr">
        <is>
          <t>Option list and order</t>
        </is>
      </c>
      <c r="C49" s="34" t="n"/>
      <c r="D49" s="34" t="inlineStr">
        <is>
          <t>All options present, sourced correctly, in the specified sort order.</t>
        </is>
      </c>
      <c r="E49" s="15" t="n"/>
    </row>
    <row r="50">
      <c r="A50" s="15" t="n">
        <v>41</v>
      </c>
      <c r="B50" s="16" t="inlineStr">
        <is>
          <t>Empty option list</t>
        </is>
      </c>
      <c r="C50" s="16" t="n"/>
      <c r="D50" s="16" t="inlineStr">
        <is>
          <t>A no-data message is shown; no error occurs.</t>
        </is>
      </c>
      <c r="E50" s="15" t="n"/>
    </row>
    <row r="51">
      <c r="A51" s="33" t="n">
        <v>42</v>
      </c>
      <c r="B51" s="34" t="inlineStr">
        <is>
          <t>Dependent dropdown</t>
        </is>
      </c>
      <c r="C51" s="34" t="inlineStr">
        <is>
          <t>Change the parent dropdown value</t>
        </is>
      </c>
      <c r="D51" s="34" t="inlineStr">
        <is>
          <t>The child dropdown resets and reloads the correct option list.</t>
        </is>
      </c>
      <c r="E51" s="15" t="n"/>
    </row>
    <row r="52">
      <c r="A52" s="15" t="n">
        <v>43</v>
      </c>
      <c r="B52" s="16" t="inlineStr">
        <is>
          <t>Search inside the dropdown</t>
        </is>
      </c>
      <c r="C52" s="16" t="inlineStr">
        <is>
          <t>Partial string · special characters</t>
        </is>
      </c>
      <c r="D52" s="16" t="inlineStr">
        <is>
          <t>Filters correctly with no error.</t>
        </is>
      </c>
      <c r="E52" s="15" t="n"/>
    </row>
    <row r="53">
      <c r="A53" s="33" t="n">
        <v>44</v>
      </c>
      <c r="B53" s="34" t="inlineStr">
        <is>
          <t>Very long option list</t>
        </is>
      </c>
      <c r="C53" s="34" t="inlineStr">
        <is>
          <t>More than 500 options</t>
        </is>
      </c>
      <c r="D53" s="34" t="inlineStr">
        <is>
          <t>Scrolling and search still perform acceptably.</t>
        </is>
      </c>
      <c r="E53" s="15" t="n"/>
    </row>
    <row r="54" ht="19.5" customHeight="1">
      <c r="A54" s="2" t="inlineStr">
        <is>
          <t>Date / Datepicker</t>
        </is>
      </c>
      <c r="B54" s="98" t="n"/>
      <c r="C54" s="98" t="n"/>
      <c r="D54" s="98" t="n"/>
      <c r="E54" s="99" t="n"/>
    </row>
    <row r="55">
      <c r="A55" s="15" t="n">
        <v>45</v>
      </c>
      <c r="B55" s="16" t="inlineStr">
        <is>
          <t>Pick a date from the calendar</t>
        </is>
      </c>
      <c r="C55" s="16" t="n"/>
      <c r="D55" s="16" t="inlineStr">
        <is>
          <t>The correct date is written to the field in the correct display format.</t>
        </is>
      </c>
      <c r="E55" s="15" t="n"/>
    </row>
    <row r="56">
      <c r="A56" s="33" t="n">
        <v>46</v>
      </c>
      <c r="B56" s="34" t="inlineStr">
        <is>
          <t>Manual input with a wrong format</t>
        </is>
      </c>
      <c r="C56" s="34" t="inlineStr">
        <is>
          <t>31/02/2026 · 2026-13-01</t>
        </is>
      </c>
      <c r="D56" s="34" t="inlineStr">
        <is>
          <t>Date format error is displayed.</t>
        </is>
      </c>
      <c r="E56" s="15" t="n"/>
    </row>
    <row r="57">
      <c r="A57" s="15" t="n">
        <v>47</v>
      </c>
      <c r="B57" s="16" t="inlineStr">
        <is>
          <t>Past and future dates</t>
        </is>
      </c>
      <c r="C57" s="16" t="n"/>
      <c r="D57" s="16" t="inlineStr">
        <is>
          <t>Per the requirement: blocked or allowed.</t>
        </is>
      </c>
      <c r="E57" s="15" t="n"/>
    </row>
    <row r="58">
      <c r="A58" s="33" t="n">
        <v>48</v>
      </c>
      <c r="B58" s="34" t="inlineStr">
        <is>
          <t>From is later than To</t>
        </is>
      </c>
      <c r="C58" s="34" t="inlineStr">
        <is>
          <t>From 10/08 · To 01/08</t>
        </is>
      </c>
      <c r="D58" s="34" t="inlineStr">
        <is>
          <t>Invalid date range error is displayed.</t>
        </is>
      </c>
      <c r="E58" s="15" t="n"/>
    </row>
    <row r="59">
      <c r="A59" s="15" t="n">
        <v>49</v>
      </c>
      <c r="B59" s="16" t="inlineStr">
        <is>
          <t>Leap year</t>
        </is>
      </c>
      <c r="C59" s="16" t="inlineStr">
        <is>
          <t>29/02/2028 · 29/02/2027</t>
        </is>
      </c>
      <c r="D59" s="16" t="inlineStr">
        <is>
          <t>29/02/2028 is valid; 29/02/2027 fails.</t>
        </is>
      </c>
      <c r="E59" s="15" t="n"/>
    </row>
    <row r="60" ht="28" customHeight="1">
      <c r="A60" s="33" t="n">
        <v>50</v>
      </c>
      <c r="B60" s="34" t="inlineStr">
        <is>
          <t>Timezone on save and display</t>
        </is>
      </c>
      <c r="C60" s="34" t="n"/>
      <c r="D60" s="34" t="inlineStr">
        <is>
          <t>The stored date and the displayed date stay consistent, with no one-day shift.</t>
        </is>
      </c>
      <c r="E60" s="15" t="n"/>
    </row>
    <row r="61" ht="19.5" customHeight="1">
      <c r="A61" s="2" t="inlineStr">
        <is>
          <t>File upload</t>
        </is>
      </c>
      <c r="B61" s="98" t="n"/>
      <c r="C61" s="98" t="n"/>
      <c r="D61" s="98" t="n"/>
      <c r="E61" s="99" t="n"/>
    </row>
    <row r="62">
      <c r="A62" s="15" t="n">
        <v>51</v>
      </c>
      <c r="B62" s="16" t="inlineStr">
        <is>
          <t>Allowed file type</t>
        </is>
      </c>
      <c r="C62" s="16" t="inlineStr">
        <is>
          <t>jpg · png · pdf per the requirement</t>
        </is>
      </c>
      <c r="D62" s="16" t="inlineStr">
        <is>
          <t>Uploaded successfully.</t>
        </is>
      </c>
      <c r="E62" s="15" t="n"/>
    </row>
    <row r="63">
      <c r="A63" s="33" t="n">
        <v>52</v>
      </c>
      <c r="B63" s="34" t="inlineStr">
        <is>
          <t>Disallowed file type</t>
        </is>
      </c>
      <c r="C63" s="34" t="inlineStr">
        <is>
          <t>exe · zip</t>
        </is>
      </c>
      <c r="D63" s="34" t="inlineStr">
        <is>
          <t>File type error is displayed; nothing is uploaded.</t>
        </is>
      </c>
      <c r="E63" s="15" t="n"/>
    </row>
    <row r="64">
      <c r="A64" s="15" t="n">
        <v>53</v>
      </c>
      <c r="B64" s="16" t="inlineStr">
        <is>
          <t>Over the size limit</t>
        </is>
      </c>
      <c r="C64" s="16" t="inlineStr">
        <is>
          <t>A file larger than the limit</t>
        </is>
      </c>
      <c r="D64" s="16" t="inlineStr">
        <is>
          <t>Maximum size error is displayed.</t>
        </is>
      </c>
      <c r="E64" s="15" t="n"/>
    </row>
    <row r="65">
      <c r="A65" s="33" t="n">
        <v>54</v>
      </c>
      <c r="B65" s="34" t="inlineStr">
        <is>
          <t>Empty 0KB file</t>
        </is>
      </c>
      <c r="C65" s="34" t="n"/>
      <c r="D65" s="34" t="inlineStr">
        <is>
          <t>Error is displayed; nothing is stored.</t>
        </is>
      </c>
      <c r="E65" s="15" t="n"/>
    </row>
    <row r="66">
      <c r="A66" s="15" t="n">
        <v>55</v>
      </c>
      <c r="B66" s="16" t="inlineStr">
        <is>
          <t>Long or special file name</t>
        </is>
      </c>
      <c r="C66" s="16" t="inlineStr">
        <is>
          <t>A 255-character name with accented characters</t>
        </is>
      </c>
      <c r="D66" s="16" t="inlineStr">
        <is>
          <t>Uploaded and displayed correctly, or a clear error is shown.</t>
        </is>
      </c>
      <c r="E66" s="15" t="n"/>
    </row>
    <row r="67">
      <c r="A67" s="33" t="n">
        <v>56</v>
      </c>
      <c r="B67" s="34" t="inlineStr">
        <is>
          <t>Multiple files</t>
        </is>
      </c>
      <c r="C67" s="34" t="n"/>
      <c r="D67" s="34" t="inlineStr">
        <is>
          <t>The maximum allowed count is enforced.</t>
        </is>
      </c>
      <c r="E67" s="15" t="n"/>
    </row>
    <row r="68" ht="28" customHeight="1">
      <c r="A68" s="15" t="n">
        <v>57</v>
      </c>
      <c r="B68" s="16" t="inlineStr">
        <is>
          <t>Cancel or lose connection mid-upload</t>
        </is>
      </c>
      <c r="C68" s="16" t="n"/>
      <c r="D68" s="16" t="inlineStr">
        <is>
          <t>No orphan record is created, a clear error is shown, and the upload can be retried.</t>
        </is>
      </c>
      <c r="E68" s="15" t="n"/>
    </row>
    <row r="69">
      <c r="A69" s="33" t="n">
        <v>58</v>
      </c>
      <c r="B69" s="34" t="inlineStr">
        <is>
          <t>Replace an existing file</t>
        </is>
      </c>
      <c r="C69" s="34" t="n"/>
      <c r="D69" s="34" t="inlineStr">
        <is>
          <t>Per the requirement: confirmation prompt or silent overwrite.</t>
        </is>
      </c>
      <c r="E69" s="15" t="n"/>
    </row>
    <row r="70" ht="19.5" customHeight="1">
      <c r="A70" s="2" t="inlineStr">
        <is>
          <t>List / Search / Paging</t>
        </is>
      </c>
      <c r="B70" s="98" t="n"/>
      <c r="C70" s="98" t="n"/>
      <c r="D70" s="98" t="n"/>
      <c r="E70" s="99" t="n"/>
    </row>
    <row r="71">
      <c r="A71" s="15" t="n">
        <v>59</v>
      </c>
      <c r="B71" s="16" t="inlineStr">
        <is>
          <t>Empty list</t>
        </is>
      </c>
      <c r="C71" s="16" t="n"/>
      <c r="D71" s="16" t="inlineStr">
        <is>
          <t>The empty state renders as designed.</t>
        </is>
      </c>
      <c r="E71" s="15" t="n"/>
    </row>
    <row r="72">
      <c r="A72" s="33" t="n">
        <v>60</v>
      </c>
      <c r="B72" s="34" t="inlineStr">
        <is>
          <t>Sort by each column</t>
        </is>
      </c>
      <c r="C72" s="34" t="n"/>
      <c r="D72" s="34" t="inlineStr">
        <is>
          <t>Sorts correctly in both directions and preserves the active filters.</t>
        </is>
      </c>
      <c r="E72" s="15" t="n"/>
    </row>
    <row r="73">
      <c r="A73" s="15" t="n">
        <v>61</v>
      </c>
      <c r="B73" s="16" t="inlineStr">
        <is>
          <t>Combined filters</t>
        </is>
      </c>
      <c r="C73" s="16" t="n"/>
      <c r="D73" s="16" t="inlineStr">
        <is>
          <t>Applied correctly using AND logic.</t>
        </is>
      </c>
      <c r="E73" s="15" t="n"/>
    </row>
    <row r="74">
      <c r="A74" s="33" t="n">
        <v>62</v>
      </c>
      <c r="B74" s="34" t="inlineStr">
        <is>
          <t>Search with no results</t>
        </is>
      </c>
      <c r="C74" s="34" t="inlineStr">
        <is>
          <t>A string that does not exist</t>
        </is>
      </c>
      <c r="D74" s="34" t="inlineStr">
        <is>
          <t>A no-results message is displayed.</t>
        </is>
      </c>
      <c r="E74" s="15" t="n"/>
    </row>
    <row r="75">
      <c r="A75" s="15" t="n">
        <v>63</v>
      </c>
      <c r="B75" s="16" t="inlineStr">
        <is>
          <t>Partial and special-character search</t>
        </is>
      </c>
      <c r="C75" s="16" t="inlineStr">
        <is>
          <t>%, _, \</t>
        </is>
      </c>
      <c r="D75" s="16" t="inlineStr">
        <is>
          <t>Returns the correct results with no SQL error.</t>
        </is>
      </c>
      <c r="E75" s="15" t="n"/>
    </row>
    <row r="76" ht="28" customHeight="1">
      <c r="A76" s="33" t="n">
        <v>64</v>
      </c>
      <c r="B76" s="34" t="inlineStr">
        <is>
          <t>Pagination</t>
        </is>
      </c>
      <c r="C76" s="34" t="inlineStr">
        <is>
          <t>Fewer than 10 · more than 10 records</t>
        </is>
      </c>
      <c r="D76" s="34" t="inlineStr">
        <is>
          <t>Below the threshold no pager is shown; above it the page count is correct and navigation works.</t>
        </is>
      </c>
      <c r="E76" s="15" t="n"/>
    </row>
    <row r="77">
      <c r="A77" s="15" t="n">
        <v>65</v>
      </c>
      <c r="B77" s="16" t="inlineStr">
        <is>
          <t>Filters preserved on back</t>
        </is>
      </c>
      <c r="C77" s="16" t="inlineStr">
        <is>
          <t>Open a detail page, then go back</t>
        </is>
      </c>
      <c r="D77" s="16" t="inlineStr">
        <is>
          <t>Filters, keyword and page number are preserved.</t>
        </is>
      </c>
      <c r="E77" s="15" t="n"/>
    </row>
    <row r="78" ht="19.5" customHeight="1">
      <c r="A78" s="2" t="inlineStr">
        <is>
          <t>API</t>
        </is>
      </c>
      <c r="B78" s="98" t="n"/>
      <c r="C78" s="98" t="n"/>
      <c r="D78" s="98" t="n"/>
      <c r="E78" s="99" t="n"/>
    </row>
    <row r="79">
      <c r="A79" s="15" t="n">
        <v>66</v>
      </c>
      <c r="B79" s="16" t="inlineStr">
        <is>
          <t>Valid request</t>
        </is>
      </c>
      <c r="C79" s="16" t="inlineStr">
        <is>
          <t>A payload matching the schema</t>
        </is>
      </c>
      <c r="D79" s="16" t="inlineStr">
        <is>
          <t>200/201 with a response body matching the documented schema.</t>
        </is>
      </c>
      <c r="E79" s="15" t="n"/>
    </row>
    <row r="80">
      <c r="A80" s="33" t="n">
        <v>67</v>
      </c>
      <c r="B80" s="34" t="inlineStr">
        <is>
          <t>Missing required field</t>
        </is>
      </c>
      <c r="C80" s="34" t="n"/>
      <c r="D80" s="34" t="inlineStr">
        <is>
          <t>400 or 422; the message names the missing field.</t>
        </is>
      </c>
      <c r="E80" s="15" t="n"/>
    </row>
    <row r="81">
      <c r="A81" s="15" t="n">
        <v>68</v>
      </c>
      <c r="B81" s="16" t="inlineStr">
        <is>
          <t>Wrong data type</t>
        </is>
      </c>
      <c r="C81" s="16" t="inlineStr">
        <is>
          <t>A string where a number is expected</t>
        </is>
      </c>
      <c r="D81" s="16" t="inlineStr">
        <is>
          <t>400 or 422; no record is created.</t>
        </is>
      </c>
      <c r="E81" s="15" t="n"/>
    </row>
    <row r="82">
      <c r="A82" s="33" t="n">
        <v>69</v>
      </c>
      <c r="B82" s="34" t="inlineStr">
        <is>
          <t>Empty or malformed payload</t>
        </is>
      </c>
      <c r="C82" s="34" t="inlineStr">
        <is>
          <t>{} · a non-JSON string</t>
        </is>
      </c>
      <c r="D82" s="34" t="inlineStr">
        <is>
          <t>400, never 500.</t>
        </is>
      </c>
      <c r="E82" s="15" t="n"/>
    </row>
    <row r="83">
      <c r="A83" s="15" t="n">
        <v>70</v>
      </c>
      <c r="B83" s="16" t="inlineStr">
        <is>
          <t>Missing, invalid or expired token</t>
        </is>
      </c>
      <c r="C83" s="16" t="n"/>
      <c r="D83" s="16" t="inlineStr">
        <is>
          <t>401.</t>
        </is>
      </c>
      <c r="E83" s="15" t="n"/>
    </row>
    <row r="84">
      <c r="A84" s="33" t="n">
        <v>71</v>
      </c>
      <c r="B84" s="34" t="inlineStr">
        <is>
          <t>Token belonging to another user</t>
        </is>
      </c>
      <c r="C84" s="34" t="inlineStr">
        <is>
          <t>Access a resource owned by someone else</t>
        </is>
      </c>
      <c r="D84" s="34" t="inlineStr">
        <is>
          <t>403 with no data leaked.</t>
        </is>
      </c>
      <c r="E84" s="15" t="n"/>
    </row>
    <row r="85">
      <c r="A85" s="15" t="n">
        <v>72</v>
      </c>
      <c r="B85" s="16" t="inlineStr">
        <is>
          <t>Resource not found</t>
        </is>
      </c>
      <c r="C85" s="16" t="inlineStr">
        <is>
          <t>A non-existent ID</t>
        </is>
      </c>
      <c r="D85" s="16" t="inlineStr">
        <is>
          <t>404.</t>
        </is>
      </c>
      <c r="E85" s="15" t="n"/>
    </row>
    <row r="86">
      <c r="A86" s="33" t="n">
        <v>73</v>
      </c>
      <c r="B86" s="34" t="inlineStr">
        <is>
          <t>Duplicate resource</t>
        </is>
      </c>
      <c r="C86" s="34" t="inlineStr">
        <is>
          <t>Create a record that already exists</t>
        </is>
      </c>
      <c r="D86" s="34" t="inlineStr">
        <is>
          <t>409, or per the requirement.</t>
        </is>
      </c>
      <c r="E86" s="15" t="n"/>
    </row>
    <row r="87">
      <c r="A87" s="15" t="n">
        <v>74</v>
      </c>
      <c r="B87" s="16" t="inlineStr">
        <is>
          <t>Idempotency on repeated calls</t>
        </is>
      </c>
      <c r="C87" s="16" t="inlineStr">
        <is>
          <t>Send the same request twice</t>
        </is>
      </c>
      <c r="D87" s="16" t="inlineStr">
        <is>
          <t>No duplicate record is created.</t>
        </is>
      </c>
      <c r="E87" s="15" t="n"/>
    </row>
    <row r="88">
      <c r="A88" s="33" t="n">
        <v>75</v>
      </c>
      <c r="B88" s="34" t="inlineStr">
        <is>
          <t>Pagination and limits</t>
        </is>
      </c>
      <c r="C88" s="34" t="inlineStr">
        <is>
          <t>page · limit beyond the allowed range</t>
        </is>
      </c>
      <c r="D88" s="34" t="inlineStr">
        <is>
          <t>Returns the correct record count and does not hang.</t>
        </is>
      </c>
      <c r="E88" s="15" t="n"/>
    </row>
    <row r="89">
      <c r="A89" s="15" t="n">
        <v>76</v>
      </c>
      <c r="B89" s="16" t="inlineStr">
        <is>
          <t>Error messages do not leak internals</t>
        </is>
      </c>
      <c r="C89" s="16" t="n"/>
      <c r="D89" s="16" t="inlineStr">
        <is>
          <t>No stack trace, table name or query is returned.</t>
        </is>
      </c>
      <c r="E89" s="15" t="n"/>
    </row>
    <row r="90">
      <c r="A90" s="33" t="n">
        <v>77</v>
      </c>
      <c r="B90" s="34" t="inlineStr">
        <is>
          <t>Response time</t>
        </is>
      </c>
      <c r="C90" s="34" t="n"/>
      <c r="D90" s="34" t="inlineStr">
        <is>
          <t>Within the performance threshold agreed for the project.</t>
        </is>
      </c>
      <c r="E90" s="15" t="n"/>
    </row>
  </sheetData>
  <mergeCells count="12">
    <mergeCell ref="A4:E4"/>
    <mergeCell ref="A78:E78"/>
    <mergeCell ref="A24:E24"/>
    <mergeCell ref="A54:E54"/>
    <mergeCell ref="A2:E2"/>
    <mergeCell ref="A41:E41"/>
    <mergeCell ref="A47:E47"/>
    <mergeCell ref="A1:E1"/>
    <mergeCell ref="A32:E32"/>
    <mergeCell ref="A61:E61"/>
    <mergeCell ref="A17:E17"/>
    <mergeCell ref="A70:E70"/>
  </mergeCells>
  <conditionalFormatting sqref="E4:E91">
    <cfRule type="cellIs" priority="2" operator="equal" dxfId="0">
      <formula>"Yes"</formula>
    </cfRule>
  </conditionalFormatting>
  <dataValidations count="1">
    <dataValidation sqref="E4:E91" showDropDown="0" showInputMessage="0" showErrorMessage="0" allowBlank="1" type="list">
      <formula1>"Yes,No,N/A"</formula1>
      <formula2>0</formula2>
    </dataValidation>
  </dataValidations>
  <pageMargins left="0.75" right="0.75" top="1" bottom="1" header="0.511811023622047" footer="0.511811023622047"/>
  <pageSetup orientation="landscape" fitToHeight="0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K33"/>
  <sheetViews>
    <sheetView showGridLines="0" zoomScaleNormal="100" workbookViewId="0">
      <pane ySplit="3" topLeftCell="A4" activePane="bottomLeft" state="frozen"/>
      <selection pane="bottomLeft" activeCell="C5" sqref="C5:C11"/>
    </sheetView>
  </sheetViews>
  <sheetFormatPr baseColWidth="10" defaultColWidth="8.6640625" defaultRowHeight="15"/>
  <cols>
    <col width="6" customWidth="1" min="1" max="1"/>
    <col width="15" customWidth="1" min="2" max="2"/>
    <col width="22" customWidth="1" min="3" max="3"/>
    <col width="44" customWidth="1" min="4" max="4"/>
    <col width="40" customWidth="1" min="5" max="5"/>
    <col width="11" customWidth="1" min="6" max="6"/>
    <col width="50" customWidth="1" min="7" max="7"/>
    <col width="18" customWidth="1" min="8" max="8"/>
    <col width="16" customWidth="1" min="9" max="9"/>
    <col width="15" customWidth="1" min="10" max="10"/>
  </cols>
  <sheetData>
    <row r="1" ht="27.75" customHeight="1">
      <c r="A1" s="1" t="inlineStr">
        <is>
          <t>DEFECTS &amp; FOLLOW-UPS</t>
        </is>
      </c>
      <c r="B1" s="94" t="n"/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</row>
    <row r="2" ht="15" customHeight="1">
      <c r="A2" s="9" t="inlineStr">
        <is>
          <t>Add one row for every test case whose result is Fail or Blocked, and for every point that still needs a decision from BA or Dev.</t>
        </is>
      </c>
      <c r="B2" s="94" t="n"/>
      <c r="C2" s="94" t="n"/>
      <c r="D2" s="94" t="n"/>
      <c r="E2" s="94" t="n"/>
      <c r="F2" s="94" t="n"/>
      <c r="G2" s="94" t="n"/>
      <c r="H2" s="94" t="n"/>
      <c r="I2" s="94" t="n"/>
      <c r="J2" s="94" t="n"/>
      <c r="K2" s="94" t="n"/>
    </row>
    <row r="3" ht="27.75" customHeight="1">
      <c r="A3" s="14" t="inlineStr">
        <is>
          <t>#</t>
        </is>
      </c>
      <c r="B3" s="14" t="inlineStr">
        <is>
          <t>TC ID</t>
        </is>
      </c>
      <c r="C3" s="14" t="inlineStr">
        <is>
          <t>Section</t>
        </is>
      </c>
      <c r="D3" s="14" t="inlineStr">
        <is>
          <t>Test Case Title</t>
        </is>
      </c>
      <c r="E3" s="14" t="inlineStr">
        <is>
          <t>Description</t>
        </is>
      </c>
      <c r="F3" s="14" t="inlineStr">
        <is>
          <t>Round</t>
        </is>
      </c>
      <c r="G3" s="14" t="inlineStr">
        <is>
          <t>Priority</t>
        </is>
      </c>
      <c r="H3" s="14" t="inlineStr">
        <is>
          <t>Actual Result / Reason</t>
        </is>
      </c>
      <c r="I3" s="14" t="inlineStr">
        <is>
          <t>Bug ID / Ticket</t>
        </is>
      </c>
      <c r="J3" s="14" t="inlineStr">
        <is>
          <t>Assignee</t>
        </is>
      </c>
      <c r="K3" s="14" t="inlineStr">
        <is>
          <t>Fix Status</t>
        </is>
      </c>
    </row>
    <row r="4">
      <c r="A4" s="15" t="n"/>
      <c r="B4" s="17" t="n"/>
      <c r="C4" s="17" t="n"/>
      <c r="D4" s="16" t="n"/>
      <c r="F4" s="15" t="n"/>
      <c r="G4" s="15" t="n"/>
      <c r="H4" s="16" t="n"/>
      <c r="I4" s="17" t="n"/>
      <c r="J4" s="17" t="n"/>
      <c r="K4" s="15" t="n"/>
    </row>
    <row r="5">
      <c r="A5" s="33" t="n"/>
      <c r="B5" s="18" t="n"/>
      <c r="C5" s="18" t="n"/>
      <c r="D5" s="34" t="n"/>
      <c r="F5" s="33" t="n"/>
      <c r="G5" s="33" t="n"/>
      <c r="H5" s="34" t="n"/>
      <c r="I5" s="18" t="n"/>
      <c r="J5" s="18" t="n"/>
      <c r="K5" s="33" t="n"/>
    </row>
    <row r="6">
      <c r="A6" s="15" t="n"/>
      <c r="B6" s="17" t="n"/>
      <c r="C6" s="17" t="n"/>
      <c r="D6" s="16" t="n"/>
      <c r="F6" s="15" t="n"/>
      <c r="G6" s="15" t="n"/>
      <c r="H6" s="16" t="n"/>
      <c r="I6" s="17" t="n"/>
      <c r="J6" s="17" t="n"/>
      <c r="K6" s="15" t="n"/>
    </row>
    <row r="7">
      <c r="A7" s="33" t="n"/>
      <c r="B7" s="18" t="n"/>
      <c r="C7" s="18" t="n"/>
      <c r="D7" s="34" t="n"/>
      <c r="F7" s="33" t="n"/>
      <c r="G7" s="33" t="n"/>
      <c r="H7" s="34" t="n"/>
      <c r="I7" s="18" t="n"/>
      <c r="J7" s="18" t="n"/>
      <c r="K7" s="33" t="n"/>
    </row>
    <row r="8">
      <c r="A8" s="15" t="n"/>
      <c r="B8" s="17" t="n"/>
      <c r="C8" s="17" t="n"/>
      <c r="D8" s="16" t="n"/>
      <c r="F8" s="15" t="n"/>
      <c r="G8" s="15" t="n"/>
      <c r="H8" s="16" t="n"/>
      <c r="I8" s="17" t="n"/>
      <c r="J8" s="17" t="n"/>
      <c r="K8" s="15" t="n"/>
    </row>
    <row r="9">
      <c r="A9" s="33" t="n"/>
      <c r="B9" s="18" t="n"/>
      <c r="C9" s="18" t="n"/>
      <c r="D9" s="34" t="n"/>
      <c r="F9" s="33" t="n"/>
      <c r="G9" s="33" t="n"/>
      <c r="H9" s="34" t="n"/>
      <c r="I9" s="18" t="n"/>
      <c r="J9" s="18" t="n"/>
      <c r="K9" s="33" t="n"/>
    </row>
    <row r="10">
      <c r="A10" s="15" t="n"/>
      <c r="B10" s="17" t="n"/>
      <c r="C10" s="17" t="n"/>
      <c r="D10" s="16" t="n"/>
      <c r="F10" s="15" t="n"/>
      <c r="G10" s="15" t="n"/>
      <c r="H10" s="16" t="n"/>
      <c r="I10" s="17" t="n"/>
      <c r="J10" s="17" t="n"/>
      <c r="K10" s="15" t="n"/>
    </row>
    <row r="11">
      <c r="A11" s="33" t="n"/>
      <c r="B11" s="18" t="n"/>
      <c r="C11" s="18" t="n"/>
      <c r="D11" s="34" t="n"/>
      <c r="F11" s="33" t="n"/>
      <c r="G11" s="33" t="n"/>
      <c r="H11" s="34" t="n"/>
      <c r="I11" s="18" t="n"/>
      <c r="J11" s="18" t="n"/>
      <c r="K11" s="33" t="n"/>
    </row>
    <row r="12">
      <c r="A12" s="15" t="n"/>
      <c r="B12" s="17" t="n"/>
      <c r="C12" s="17" t="n"/>
      <c r="D12" s="16" t="n"/>
      <c r="F12" s="15" t="n"/>
      <c r="G12" s="15" t="n"/>
      <c r="H12" s="16" t="n"/>
      <c r="I12" s="17" t="n"/>
      <c r="J12" s="17" t="n"/>
      <c r="K12" s="15" t="n"/>
    </row>
    <row r="13">
      <c r="A13" s="33" t="n"/>
      <c r="B13" s="18" t="n"/>
      <c r="C13" s="18" t="n"/>
      <c r="D13" s="34" t="n"/>
      <c r="F13" s="33" t="n"/>
      <c r="G13" s="33" t="n"/>
      <c r="H13" s="34" t="n"/>
      <c r="I13" s="18" t="n"/>
      <c r="J13" s="18" t="n"/>
      <c r="K13" s="33" t="n"/>
    </row>
    <row r="14">
      <c r="A14" s="15" t="n"/>
      <c r="B14" s="17" t="n"/>
      <c r="C14" s="17" t="n"/>
      <c r="D14" s="16" t="n"/>
      <c r="F14" s="15" t="n"/>
      <c r="G14" s="15" t="n"/>
      <c r="H14" s="16" t="n"/>
      <c r="I14" s="17" t="n"/>
      <c r="J14" s="17" t="n"/>
      <c r="K14" s="15" t="n"/>
    </row>
    <row r="15">
      <c r="A15" s="33" t="n"/>
      <c r="B15" s="18" t="n"/>
      <c r="C15" s="18" t="n"/>
      <c r="D15" s="34" t="n"/>
      <c r="F15" s="33" t="n"/>
      <c r="G15" s="33" t="n"/>
      <c r="H15" s="34" t="n"/>
      <c r="I15" s="18" t="n"/>
      <c r="J15" s="18" t="n"/>
      <c r="K15" s="33" t="n"/>
    </row>
    <row r="16">
      <c r="A16" s="15" t="n"/>
      <c r="B16" s="17" t="n"/>
      <c r="C16" s="17" t="n"/>
      <c r="D16" s="16" t="n"/>
      <c r="F16" s="15" t="n"/>
      <c r="G16" s="15" t="n"/>
      <c r="H16" s="16" t="n"/>
      <c r="I16" s="17" t="n"/>
      <c r="J16" s="17" t="n"/>
      <c r="K16" s="15" t="n"/>
    </row>
    <row r="17">
      <c r="A17" s="33" t="n"/>
      <c r="B17" s="18" t="n"/>
      <c r="C17" s="18" t="n"/>
      <c r="D17" s="34" t="n"/>
      <c r="F17" s="33" t="n"/>
      <c r="G17" s="33" t="n"/>
      <c r="H17" s="34" t="n"/>
      <c r="I17" s="18" t="n"/>
      <c r="J17" s="18" t="n"/>
      <c r="K17" s="33" t="n"/>
    </row>
    <row r="18">
      <c r="A18" s="15" t="n"/>
      <c r="B18" s="17" t="n"/>
      <c r="C18" s="17" t="n"/>
      <c r="D18" s="16" t="n"/>
      <c r="F18" s="15" t="n"/>
      <c r="G18" s="15" t="n"/>
      <c r="H18" s="16" t="n"/>
      <c r="I18" s="17" t="n"/>
      <c r="J18" s="17" t="n"/>
      <c r="K18" s="15" t="n"/>
    </row>
    <row r="19">
      <c r="A19" s="33" t="n"/>
      <c r="B19" s="18" t="n"/>
      <c r="C19" s="18" t="n"/>
      <c r="D19" s="34" t="n"/>
      <c r="F19" s="33" t="n"/>
      <c r="G19" s="33" t="n"/>
      <c r="H19" s="34" t="n"/>
      <c r="I19" s="18" t="n"/>
      <c r="J19" s="18" t="n"/>
      <c r="K19" s="33" t="n"/>
    </row>
    <row r="20">
      <c r="A20" s="15" t="n"/>
      <c r="B20" s="17" t="n"/>
      <c r="C20" s="17" t="n"/>
      <c r="D20" s="16" t="n"/>
      <c r="F20" s="15" t="n"/>
      <c r="G20" s="15" t="n"/>
      <c r="H20" s="16" t="n"/>
      <c r="I20" s="17" t="n"/>
      <c r="J20" s="17" t="n"/>
      <c r="K20" s="15" t="n"/>
    </row>
    <row r="21">
      <c r="A21" s="33" t="n"/>
      <c r="B21" s="18" t="n"/>
      <c r="C21" s="18" t="n"/>
      <c r="D21" s="34" t="n"/>
      <c r="F21" s="33" t="n"/>
      <c r="G21" s="33" t="n"/>
      <c r="H21" s="34" t="n"/>
      <c r="I21" s="18" t="n"/>
      <c r="J21" s="18" t="n"/>
      <c r="K21" s="33" t="n"/>
    </row>
    <row r="22">
      <c r="A22" s="15" t="n"/>
      <c r="B22" s="17" t="n"/>
      <c r="C22" s="17" t="n"/>
      <c r="D22" s="16" t="n"/>
      <c r="F22" s="15" t="n"/>
      <c r="G22" s="15" t="n"/>
      <c r="H22" s="16" t="n"/>
      <c r="I22" s="17" t="n"/>
      <c r="J22" s="17" t="n"/>
      <c r="K22" s="15" t="n"/>
    </row>
    <row r="23">
      <c r="A23" s="33" t="n"/>
      <c r="B23" s="18" t="n"/>
      <c r="C23" s="18" t="n"/>
      <c r="D23" s="34" t="n"/>
      <c r="F23" s="33" t="n"/>
      <c r="G23" s="33" t="n"/>
      <c r="H23" s="34" t="n"/>
      <c r="I23" s="18" t="n"/>
      <c r="J23" s="18" t="n"/>
      <c r="K23" s="33" t="n"/>
    </row>
    <row r="24">
      <c r="A24" s="15" t="n"/>
      <c r="B24" s="17" t="n"/>
      <c r="C24" s="17" t="n"/>
      <c r="D24" s="16" t="n"/>
      <c r="F24" s="15" t="n"/>
      <c r="G24" s="15" t="n"/>
      <c r="H24" s="16" t="n"/>
      <c r="I24" s="17" t="n"/>
      <c r="J24" s="17" t="n"/>
      <c r="K24" s="15" t="n"/>
    </row>
    <row r="25">
      <c r="A25" s="33" t="n"/>
      <c r="B25" s="18" t="n"/>
      <c r="C25" s="18" t="n"/>
      <c r="D25" s="34" t="n"/>
      <c r="F25" s="33" t="n"/>
      <c r="G25" s="33" t="n"/>
      <c r="H25" s="34" t="n"/>
      <c r="I25" s="18" t="n"/>
      <c r="J25" s="18" t="n"/>
      <c r="K25" s="33" t="n"/>
    </row>
    <row r="26">
      <c r="A26" s="15" t="n"/>
      <c r="B26" s="17" t="n"/>
      <c r="C26" s="17" t="n"/>
      <c r="D26" s="16" t="n"/>
      <c r="F26" s="15" t="n"/>
      <c r="G26" s="15" t="n"/>
      <c r="H26" s="16" t="n"/>
      <c r="I26" s="17" t="n"/>
      <c r="J26" s="17" t="n"/>
      <c r="K26" s="15" t="n"/>
    </row>
    <row r="27">
      <c r="A27" s="33" t="n"/>
      <c r="B27" s="18" t="n"/>
      <c r="C27" s="18" t="n"/>
      <c r="D27" s="34" t="n"/>
      <c r="F27" s="33" t="n"/>
      <c r="G27" s="33" t="n"/>
      <c r="H27" s="34" t="n"/>
      <c r="I27" s="18" t="n"/>
      <c r="J27" s="18" t="n"/>
      <c r="K27" s="33" t="n"/>
    </row>
    <row r="28">
      <c r="A28" s="15" t="n"/>
      <c r="B28" s="17" t="n"/>
      <c r="C28" s="17" t="n"/>
      <c r="D28" s="16" t="n"/>
      <c r="F28" s="15" t="n"/>
      <c r="G28" s="15" t="n"/>
      <c r="H28" s="16" t="n"/>
      <c r="I28" s="17" t="n"/>
      <c r="J28" s="17" t="n"/>
      <c r="K28" s="15" t="n"/>
    </row>
    <row r="29">
      <c r="A29" s="33" t="n"/>
      <c r="B29" s="18" t="n"/>
      <c r="C29" s="18" t="n"/>
      <c r="D29" s="34" t="n"/>
      <c r="F29" s="33" t="n"/>
      <c r="G29" s="33" t="n"/>
      <c r="H29" s="34" t="n"/>
      <c r="I29" s="18" t="n"/>
      <c r="J29" s="18" t="n"/>
      <c r="K29" s="33" t="n"/>
    </row>
    <row r="30">
      <c r="A30" s="15" t="n"/>
      <c r="B30" s="17" t="n"/>
      <c r="C30" s="17" t="n"/>
      <c r="D30" s="16" t="n"/>
      <c r="F30" s="15" t="n"/>
      <c r="G30" s="15" t="n"/>
      <c r="H30" s="16" t="n"/>
      <c r="I30" s="17" t="n"/>
      <c r="J30" s="17" t="n"/>
      <c r="K30" s="15" t="n"/>
    </row>
    <row r="31">
      <c r="A31" s="33" t="n"/>
      <c r="B31" s="18" t="n"/>
      <c r="C31" s="18" t="n"/>
      <c r="D31" s="34" t="n"/>
      <c r="F31" s="33" t="n"/>
      <c r="G31" s="33" t="n"/>
      <c r="H31" s="34" t="n"/>
      <c r="I31" s="18" t="n"/>
      <c r="J31" s="18" t="n"/>
      <c r="K31" s="33" t="n"/>
    </row>
    <row r="32">
      <c r="A32" s="15" t="n"/>
      <c r="B32" s="17" t="n"/>
      <c r="C32" s="17" t="n"/>
      <c r="D32" s="16" t="n"/>
      <c r="F32" s="15" t="n"/>
      <c r="G32" s="15" t="n"/>
      <c r="H32" s="16" t="n"/>
      <c r="I32" s="17" t="n"/>
      <c r="J32" s="17" t="n"/>
      <c r="K32" s="15" t="n"/>
    </row>
    <row r="33">
      <c r="A33" s="33" t="n"/>
      <c r="B33" s="18" t="n"/>
      <c r="C33" s="18" t="n"/>
      <c r="D33" s="34" t="n"/>
      <c r="F33" s="33" t="n"/>
      <c r="G33" s="33" t="n"/>
      <c r="H33" s="34" t="n"/>
      <c r="I33" s="18" t="n"/>
      <c r="J33" s="18" t="n"/>
      <c r="K33" s="33" t="n"/>
    </row>
  </sheetData>
  <mergeCells count="2">
    <mergeCell ref="A1:J1"/>
    <mergeCell ref="A2:J2"/>
  </mergeCells>
  <conditionalFormatting sqref="J4:J300">
    <cfRule type="cellIs" priority="2" operator="equal" dxfId="1">
      <formula>"Open"</formula>
    </cfRule>
    <cfRule type="cellIs" priority="3" operator="equal" dxfId="0">
      <formula>"Closed"</formula>
    </cfRule>
  </conditionalFormatting>
  <dataValidations count="1">
    <dataValidation sqref="K4:K300" showDropDown="0" showInputMessage="0" showErrorMessage="0" allowBlank="1" type="list">
      <formula1>"Open,In progress,Fixed,Retest,Closed,Won't fix"</formula1>
    </dataValidation>
  </dataValidations>
  <pageMargins left="0.75" right="0.75" top="1" bottom="1" header="0.511811023622047" footer="0.511811023622047"/>
  <pageSetup orientation="landscape" fitToHeight="0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34" customWidth="1" min="3" max="3"/>
    <col width="9" customWidth="1" min="4" max="4"/>
    <col width="14" customWidth="1" min="5" max="5"/>
  </cols>
  <sheetData>
    <row r="1">
      <c r="A1" s="104" t="inlineStr">
        <is>
          <t>TRACEABILITY — Acceptance Criteria → Test Cases</t>
        </is>
      </c>
    </row>
    <row r="2">
      <c r="A2" s="105" t="inlineStr">
        <is>
          <t>Mỗi AC trong checklist phải có ít nhất một test case. Dòng có Coverage = MISSING là AC chưa được phủ — phải xử lý trước khi giao bộ test case.</t>
        </is>
      </c>
    </row>
    <row r="3" ht="22" customHeight="1">
      <c r="A3" s="106" t="inlineStr">
        <is>
          <t>AC ID</t>
        </is>
      </c>
      <c r="B3" s="106" t="inlineStr">
        <is>
          <t>Nội dung / ghi chú</t>
        </is>
      </c>
      <c r="C3" s="106" t="inlineStr">
        <is>
          <t>Test Case IDs</t>
        </is>
      </c>
      <c r="D3" s="106" t="inlineStr">
        <is>
          <t>Số TC</t>
        </is>
      </c>
      <c r="E3" s="106" t="inlineStr">
        <is>
          <t>Coverage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G3"/>
  <sheetViews>
    <sheetView showGridLines="0" zoomScaleNormal="100" workbookViewId="0">
      <pane ySplit="3" topLeftCell="A4" activePane="bottomLeft" state="frozen"/>
      <selection pane="bottomLeft" activeCell="A1" sqref="A1:G1"/>
    </sheetView>
  </sheetViews>
  <sheetFormatPr baseColWidth="10" defaultColWidth="8.6640625" defaultRowHeight="15"/>
  <cols>
    <col width="6" customWidth="1" min="1" max="1"/>
    <col width="24" customWidth="1" min="2" max="2"/>
    <col width="44" customWidth="1" min="3" max="3"/>
    <col width="40" customWidth="1" min="4" max="4"/>
    <col width="50" customWidth="1" min="5" max="5"/>
    <col width="36" customWidth="1" min="6" max="6"/>
    <col width="14" customWidth="1" min="7" max="7"/>
  </cols>
  <sheetData>
    <row r="1" ht="27.75" customHeight="1">
      <c r="A1" s="1" t="inlineStr">
        <is>
          <t>ASSUMPTIONS &amp; QUESTIONS</t>
        </is>
      </c>
      <c r="B1" s="94" t="n"/>
      <c r="C1" s="94" t="n"/>
      <c r="D1" s="94" t="n"/>
      <c r="E1" s="94" t="n"/>
      <c r="F1" s="94" t="n"/>
      <c r="G1" s="94" t="n"/>
    </row>
    <row r="2" ht="15" customHeight="1">
      <c r="A2" s="9" t="inlineStr">
        <is>
          <t>Every expected result that cannot be derived directly from the spec needs a row here. The related test case references this number in its Note column.</t>
        </is>
      </c>
      <c r="B2" s="94" t="n"/>
      <c r="C2" s="94" t="n"/>
      <c r="D2" s="94" t="n"/>
      <c r="E2" s="94" t="n"/>
      <c r="F2" s="94" t="n"/>
      <c r="G2" s="94" t="n"/>
    </row>
    <row r="3" ht="27.75" customHeight="1">
      <c r="A3" s="14" t="inlineStr">
        <is>
          <t>#</t>
        </is>
      </c>
      <c r="B3" s="14" t="inlineStr">
        <is>
          <t>Topic</t>
        </is>
      </c>
      <c r="C3" s="14" t="inlineStr">
        <is>
          <t>Gap in the spec</t>
        </is>
      </c>
      <c r="D3" s="14" t="inlineStr">
        <is>
          <t>Working assumption</t>
        </is>
      </c>
      <c r="E3" s="14" t="inlineStr">
        <is>
          <t>Question for BA / Dev</t>
        </is>
      </c>
      <c r="F3" s="14" t="inlineStr">
        <is>
          <t>Answer</t>
        </is>
      </c>
      <c r="G3" s="14" t="inlineStr">
        <is>
          <t>Date closed</t>
        </is>
      </c>
    </row>
    <row r="4" ht="28" customHeight="1"/>
    <row r="5" ht="28" customHeight="1"/>
    <row r="6" ht="28" customHeight="1"/>
  </sheetData>
  <mergeCells count="2">
    <mergeCell ref="A2:G2"/>
    <mergeCell ref="A1:G1"/>
  </mergeCells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2026-08-16T04:11:40Z</dcterms:created>
  <dcterms:modified xmlns:dcterms="http://purl.org/dc/terms/" xmlns:xsi="http://www.w3.org/2001/XMLSchema-instance" xsi:type="dcterms:W3CDTF">2026-09-02T03:41:55Z</dcterms:modified>
  <cp:lastModifiedBy>Vũ Thị Thu Trang</cp:lastModifiedBy>
  <cp:revision>0</cp:revision>
</cp:coreProperties>
</file>